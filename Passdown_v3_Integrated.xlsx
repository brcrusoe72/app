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crusoe\Downloads\"/>
    </mc:Choice>
  </mc:AlternateContent>
  <xr:revisionPtr revIDLastSave="0" documentId="13_ncr:1_{31B63D2C-94D6-41E7-81AA-FBEC7CA0F5A2}" xr6:coauthVersionLast="47" xr6:coauthVersionMax="47" xr10:uidLastSave="{00000000-0000-0000-0000-000000000000}"/>
  <bookViews>
    <workbookView xWindow="43575" yWindow="2205" windowWidth="26655" windowHeight="14865" tabRatio="500" activeTab="1" xr2:uid="{00000000-000D-0000-FFFF-FFFF00000000}"/>
  </bookViews>
  <sheets>
    <sheet name="PASSDOWN" sheetId="1" r:id="rId1"/>
    <sheet name="SCHEDULE" sheetId="10" r:id="rId2"/>
    <sheet name="CHANGEOVERS" sheetId="3" r:id="rId3"/>
    <sheet name="CREW_LOG" sheetId="4" r:id="rId4"/>
    <sheet name="EVENTS" sheetId="5" r:id="rId5"/>
    <sheet name="REF" sheetId="6" state="hidden" r:id="rId6"/>
    <sheet name="Staffing-02-25-26" sheetId="7" r:id="rId7"/>
    <sheet name="Staffing Templat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10" l="1"/>
  <c r="W5" i="10" s="1"/>
  <c r="X5" i="10" s="1"/>
  <c r="Y5" i="10" s="1"/>
  <c r="V5" i="10"/>
  <c r="I6" i="10"/>
  <c r="W6" i="10" s="1"/>
  <c r="X6" i="10" s="1"/>
  <c r="Y6" i="10" s="1"/>
  <c r="V6" i="10"/>
  <c r="I7" i="10"/>
  <c r="V7" i="10"/>
  <c r="W7" i="10"/>
  <c r="X7" i="10" s="1"/>
  <c r="Y7" i="10" s="1"/>
  <c r="I8" i="10"/>
  <c r="W8" i="10" s="1"/>
  <c r="X8" i="10" s="1"/>
  <c r="Y8" i="10" s="1"/>
  <c r="V8" i="10"/>
  <c r="I9" i="10"/>
  <c r="W9" i="10" s="1"/>
  <c r="X9" i="10" s="1"/>
  <c r="Y9" i="10" s="1"/>
  <c r="V9" i="10"/>
  <c r="I10" i="10"/>
  <c r="W10" i="10" s="1"/>
  <c r="X10" i="10" s="1"/>
  <c r="Y10" i="10" s="1"/>
  <c r="V10" i="10"/>
  <c r="I11" i="10"/>
  <c r="W11" i="10" s="1"/>
  <c r="X11" i="10" s="1"/>
  <c r="Y11" i="10" s="1"/>
  <c r="V11" i="10"/>
  <c r="I12" i="10"/>
  <c r="W12" i="10" s="1"/>
  <c r="X12" i="10" s="1"/>
  <c r="Y12" i="10" s="1"/>
  <c r="V12" i="10"/>
  <c r="I13" i="10"/>
  <c r="W13" i="10" s="1"/>
  <c r="X13" i="10" s="1"/>
  <c r="Y13" i="10" s="1"/>
  <c r="V13" i="10"/>
  <c r="I14" i="10"/>
  <c r="W14" i="10" s="1"/>
  <c r="X14" i="10" s="1"/>
  <c r="Y14" i="10" s="1"/>
  <c r="V14" i="10"/>
  <c r="I15" i="10"/>
  <c r="W15" i="10" s="1"/>
  <c r="X15" i="10" s="1"/>
  <c r="Y15" i="10" s="1"/>
  <c r="V15" i="10"/>
  <c r="I16" i="10"/>
  <c r="W16" i="10" s="1"/>
  <c r="X16" i="10" s="1"/>
  <c r="Y16" i="10" s="1"/>
  <c r="V16" i="10"/>
  <c r="I22" i="10"/>
  <c r="W22" i="10" s="1"/>
  <c r="X22" i="10" s="1"/>
  <c r="Y22" i="10" s="1"/>
  <c r="V22" i="10"/>
  <c r="I23" i="10"/>
  <c r="W23" i="10" s="1"/>
  <c r="X23" i="10" s="1"/>
  <c r="Y23" i="10" s="1"/>
  <c r="V23" i="10"/>
  <c r="I24" i="10"/>
  <c r="W24" i="10" s="1"/>
  <c r="X24" i="10" s="1"/>
  <c r="Y24" i="10" s="1"/>
  <c r="V24" i="10"/>
  <c r="I25" i="10"/>
  <c r="W25" i="10" s="1"/>
  <c r="X25" i="10" s="1"/>
  <c r="Y25" i="10" s="1"/>
  <c r="V25" i="10"/>
  <c r="I26" i="10"/>
  <c r="W26" i="10" s="1"/>
  <c r="X26" i="10" s="1"/>
  <c r="Y26" i="10" s="1"/>
  <c r="V26" i="10"/>
  <c r="I27" i="10"/>
  <c r="W27" i="10" s="1"/>
  <c r="X27" i="10" s="1"/>
  <c r="Y27" i="10" s="1"/>
  <c r="V27" i="10"/>
  <c r="I28" i="10"/>
  <c r="W28" i="10" s="1"/>
  <c r="X28" i="10" s="1"/>
  <c r="Y28" i="10" s="1"/>
  <c r="V28" i="10"/>
  <c r="I29" i="10"/>
  <c r="W29" i="10" s="1"/>
  <c r="X29" i="10" s="1"/>
  <c r="Y29" i="10" s="1"/>
  <c r="V29" i="10"/>
  <c r="I30" i="10"/>
  <c r="V30" i="10"/>
  <c r="W30" i="10"/>
  <c r="X30" i="10" s="1"/>
  <c r="Y30" i="10" s="1"/>
  <c r="I31" i="10"/>
  <c r="W31" i="10" s="1"/>
  <c r="X31" i="10" s="1"/>
  <c r="Y31" i="10" s="1"/>
  <c r="V31" i="10"/>
  <c r="I32" i="10"/>
  <c r="W32" i="10" s="1"/>
  <c r="X32" i="10" s="1"/>
  <c r="Y32" i="10" s="1"/>
  <c r="V32" i="10"/>
  <c r="I33" i="10"/>
  <c r="W33" i="10" s="1"/>
  <c r="X33" i="10" s="1"/>
  <c r="Y33" i="10" s="1"/>
  <c r="V33" i="10"/>
  <c r="R2" i="1"/>
  <c r="R3" i="1"/>
  <c r="AC40" i="4"/>
  <c r="AB40" i="4"/>
  <c r="AA40" i="4"/>
  <c r="Z40" i="4"/>
  <c r="Y40" i="4"/>
  <c r="X40" i="4"/>
  <c r="W40" i="4"/>
  <c r="AC39" i="4"/>
  <c r="AB39" i="4"/>
  <c r="AA39" i="4"/>
  <c r="Z39" i="4"/>
  <c r="Y39" i="4"/>
  <c r="X39" i="4"/>
  <c r="W39" i="4"/>
  <c r="AC38" i="4"/>
  <c r="AB38" i="4"/>
  <c r="AA38" i="4"/>
  <c r="Z38" i="4"/>
  <c r="Y38" i="4"/>
  <c r="X38" i="4"/>
  <c r="W38" i="4"/>
  <c r="AC37" i="4"/>
  <c r="AB37" i="4"/>
  <c r="AA37" i="4"/>
  <c r="Z37" i="4"/>
  <c r="Y37" i="4"/>
  <c r="X37" i="4"/>
  <c r="W37" i="4"/>
  <c r="AC36" i="4"/>
  <c r="AB36" i="4"/>
  <c r="AA36" i="4"/>
  <c r="Z36" i="4"/>
  <c r="Y36" i="4"/>
  <c r="X36" i="4"/>
  <c r="W36" i="4"/>
  <c r="AC35" i="4"/>
  <c r="AB35" i="4"/>
  <c r="AA35" i="4"/>
  <c r="Z35" i="4"/>
  <c r="Y35" i="4"/>
  <c r="X35" i="4"/>
  <c r="W35" i="4"/>
  <c r="AC34" i="4"/>
  <c r="AB34" i="4"/>
  <c r="AA34" i="4"/>
  <c r="Z34" i="4"/>
  <c r="Y34" i="4"/>
  <c r="X34" i="4"/>
  <c r="W34" i="4"/>
  <c r="AC33" i="4"/>
  <c r="AB33" i="4"/>
  <c r="AA33" i="4"/>
  <c r="Z33" i="4"/>
  <c r="Y33" i="4"/>
  <c r="X33" i="4"/>
  <c r="W33" i="4"/>
  <c r="AC32" i="4"/>
  <c r="AB32" i="4"/>
  <c r="AA32" i="4"/>
  <c r="Z32" i="4"/>
  <c r="Y32" i="4"/>
  <c r="X32" i="4"/>
  <c r="W32" i="4"/>
  <c r="AC31" i="4"/>
  <c r="AB31" i="4"/>
  <c r="AA31" i="4"/>
  <c r="Z31" i="4"/>
  <c r="Y31" i="4"/>
  <c r="X31" i="4"/>
  <c r="W31" i="4"/>
  <c r="AC30" i="4"/>
  <c r="AB30" i="4"/>
  <c r="AA30" i="4"/>
  <c r="Z30" i="4"/>
  <c r="Y30" i="4"/>
  <c r="X30" i="4"/>
  <c r="W30" i="4"/>
  <c r="AC29" i="4"/>
  <c r="AB29" i="4"/>
  <c r="AA29" i="4"/>
  <c r="Z29" i="4"/>
  <c r="Y29" i="4"/>
  <c r="X29" i="4"/>
  <c r="W29" i="4"/>
  <c r="AC28" i="4"/>
  <c r="AB28" i="4"/>
  <c r="AA28" i="4"/>
  <c r="Z28" i="4"/>
  <c r="Y28" i="4"/>
  <c r="X28" i="4"/>
  <c r="W28" i="4"/>
  <c r="AC27" i="4"/>
  <c r="AB27" i="4"/>
  <c r="AA27" i="4"/>
  <c r="Z27" i="4"/>
  <c r="Y27" i="4"/>
  <c r="X27" i="4"/>
  <c r="W27" i="4"/>
  <c r="AC26" i="4"/>
  <c r="AB26" i="4"/>
  <c r="AA26" i="4"/>
  <c r="Z26" i="4"/>
  <c r="Y26" i="4"/>
  <c r="X26" i="4"/>
  <c r="W26" i="4"/>
  <c r="AC25" i="4"/>
  <c r="AB25" i="4"/>
  <c r="AA25" i="4"/>
  <c r="Z25" i="4"/>
  <c r="Y25" i="4"/>
  <c r="X25" i="4"/>
  <c r="W25" i="4"/>
  <c r="AC24" i="4"/>
  <c r="AB24" i="4"/>
  <c r="AA24" i="4"/>
  <c r="Z24" i="4"/>
  <c r="Y24" i="4"/>
  <c r="X24" i="4"/>
  <c r="W24" i="4"/>
  <c r="AC23" i="4"/>
  <c r="AB23" i="4"/>
  <c r="AA23" i="4"/>
  <c r="Z23" i="4"/>
  <c r="Y23" i="4"/>
  <c r="X23" i="4"/>
  <c r="W23" i="4"/>
  <c r="AC22" i="4"/>
  <c r="AB22" i="4"/>
  <c r="AA22" i="4"/>
  <c r="Z22" i="4"/>
  <c r="Y22" i="4"/>
  <c r="X22" i="4"/>
  <c r="W22" i="4"/>
  <c r="AC21" i="4"/>
  <c r="AB21" i="4"/>
  <c r="AA21" i="4"/>
  <c r="Z21" i="4"/>
  <c r="Y21" i="4"/>
  <c r="X21" i="4"/>
  <c r="W21" i="4"/>
  <c r="AC20" i="4"/>
  <c r="AB20" i="4"/>
  <c r="AA20" i="4"/>
  <c r="Z20" i="4"/>
  <c r="Y20" i="4"/>
  <c r="X20" i="4"/>
  <c r="W20" i="4"/>
  <c r="AC19" i="4"/>
  <c r="AB19" i="4"/>
  <c r="AA19" i="4"/>
  <c r="Z19" i="4"/>
  <c r="Y19" i="4"/>
  <c r="X19" i="4"/>
  <c r="W19" i="4"/>
  <c r="AC18" i="4"/>
  <c r="AB18" i="4"/>
  <c r="AA18" i="4"/>
  <c r="Z18" i="4"/>
  <c r="Y18" i="4"/>
  <c r="X18" i="4"/>
  <c r="W18" i="4"/>
  <c r="AC17" i="4"/>
  <c r="AB17" i="4"/>
  <c r="AA17" i="4"/>
  <c r="Z17" i="4"/>
  <c r="Y17" i="4"/>
  <c r="X17" i="4"/>
  <c r="W17" i="4"/>
  <c r="AC16" i="4"/>
  <c r="AB16" i="4"/>
  <c r="AA16" i="4"/>
  <c r="Z16" i="4"/>
  <c r="Y16" i="4"/>
  <c r="X16" i="4"/>
  <c r="W16" i="4"/>
  <c r="AC15" i="4"/>
  <c r="AB15" i="4"/>
  <c r="AA15" i="4"/>
  <c r="Z15" i="4"/>
  <c r="Y15" i="4"/>
  <c r="X15" i="4"/>
  <c r="W15" i="4"/>
  <c r="AC14" i="4"/>
  <c r="AB14" i="4"/>
  <c r="AA14" i="4"/>
  <c r="Z14" i="4"/>
  <c r="Y14" i="4"/>
  <c r="X14" i="4"/>
  <c r="W14" i="4"/>
  <c r="AC13" i="4"/>
  <c r="AB13" i="4"/>
  <c r="AA13" i="4"/>
  <c r="Z13" i="4"/>
  <c r="Y13" i="4"/>
  <c r="X13" i="4"/>
  <c r="W13" i="4"/>
  <c r="AC12" i="4"/>
  <c r="AB12" i="4"/>
  <c r="AA12" i="4"/>
  <c r="Z12" i="4"/>
  <c r="Y12" i="4"/>
  <c r="X12" i="4"/>
  <c r="W12" i="4"/>
  <c r="AC11" i="4"/>
  <c r="AB11" i="4"/>
  <c r="AA11" i="4"/>
  <c r="Z11" i="4"/>
  <c r="Y11" i="4"/>
  <c r="X11" i="4"/>
  <c r="W11" i="4"/>
  <c r="AC10" i="4"/>
  <c r="AB10" i="4"/>
  <c r="AA10" i="4"/>
  <c r="Z10" i="4"/>
  <c r="Y10" i="4"/>
  <c r="X10" i="4"/>
  <c r="W10" i="4"/>
  <c r="AC9" i="4"/>
  <c r="AB9" i="4"/>
  <c r="AA9" i="4"/>
  <c r="Z9" i="4"/>
  <c r="Y9" i="4"/>
  <c r="X9" i="4"/>
  <c r="W9" i="4"/>
  <c r="AC8" i="4"/>
  <c r="AB8" i="4"/>
  <c r="AA8" i="4"/>
  <c r="Z8" i="4"/>
  <c r="Y8" i="4"/>
  <c r="X8" i="4"/>
  <c r="W8" i="4"/>
  <c r="AC7" i="4"/>
  <c r="AB7" i="4"/>
  <c r="AA7" i="4"/>
  <c r="Z7" i="4"/>
  <c r="Y7" i="4"/>
  <c r="X7" i="4"/>
  <c r="W7" i="4"/>
  <c r="AC6" i="4"/>
  <c r="AB6" i="4"/>
  <c r="AA6" i="4"/>
  <c r="Z6" i="4"/>
  <c r="Y6" i="4"/>
  <c r="X6" i="4"/>
  <c r="W6" i="4"/>
  <c r="AD3" i="4"/>
  <c r="AB3" i="4"/>
  <c r="Z3" i="4"/>
  <c r="X3" i="4"/>
  <c r="L7" i="4"/>
  <c r="B7" i="4"/>
  <c r="B6" i="4"/>
  <c r="A7" i="4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L502" i="4"/>
  <c r="J502" i="4"/>
  <c r="K502" i="4" s="1"/>
  <c r="L501" i="4"/>
  <c r="J501" i="4"/>
  <c r="K501" i="4" s="1"/>
  <c r="L500" i="4"/>
  <c r="J500" i="4"/>
  <c r="K500" i="4" s="1"/>
  <c r="L499" i="4"/>
  <c r="J499" i="4"/>
  <c r="K499" i="4" s="1"/>
  <c r="M499" i="4" s="1"/>
  <c r="N499" i="4" s="1"/>
  <c r="L498" i="4"/>
  <c r="J498" i="4"/>
  <c r="K498" i="4" s="1"/>
  <c r="M498" i="4" s="1"/>
  <c r="N498" i="4" s="1"/>
  <c r="L497" i="4"/>
  <c r="J497" i="4"/>
  <c r="K497" i="4" s="1"/>
  <c r="M497" i="4" s="1"/>
  <c r="N497" i="4" s="1"/>
  <c r="L496" i="4"/>
  <c r="J496" i="4"/>
  <c r="K496" i="4" s="1"/>
  <c r="L495" i="4"/>
  <c r="J495" i="4"/>
  <c r="K495" i="4" s="1"/>
  <c r="M495" i="4" s="1"/>
  <c r="N495" i="4" s="1"/>
  <c r="L494" i="4"/>
  <c r="J494" i="4"/>
  <c r="K494" i="4" s="1"/>
  <c r="L493" i="4"/>
  <c r="J493" i="4"/>
  <c r="K493" i="4" s="1"/>
  <c r="L492" i="4"/>
  <c r="J492" i="4"/>
  <c r="K492" i="4" s="1"/>
  <c r="L491" i="4"/>
  <c r="J491" i="4"/>
  <c r="K491" i="4" s="1"/>
  <c r="M491" i="4" s="1"/>
  <c r="N491" i="4" s="1"/>
  <c r="L490" i="4"/>
  <c r="J490" i="4"/>
  <c r="K490" i="4" s="1"/>
  <c r="M490" i="4" s="1"/>
  <c r="N490" i="4" s="1"/>
  <c r="L489" i="4"/>
  <c r="J489" i="4"/>
  <c r="K489" i="4" s="1"/>
  <c r="M489" i="4" s="1"/>
  <c r="N489" i="4" s="1"/>
  <c r="L488" i="4"/>
  <c r="J488" i="4"/>
  <c r="K488" i="4" s="1"/>
  <c r="M488" i="4" s="1"/>
  <c r="N488" i="4" s="1"/>
  <c r="L487" i="4"/>
  <c r="J487" i="4"/>
  <c r="K487" i="4" s="1"/>
  <c r="M487" i="4" s="1"/>
  <c r="N487" i="4" s="1"/>
  <c r="L486" i="4"/>
  <c r="J486" i="4"/>
  <c r="K486" i="4" s="1"/>
  <c r="M486" i="4" s="1"/>
  <c r="N486" i="4" s="1"/>
  <c r="L485" i="4"/>
  <c r="J485" i="4"/>
  <c r="K485" i="4" s="1"/>
  <c r="M485" i="4" s="1"/>
  <c r="N485" i="4" s="1"/>
  <c r="L484" i="4"/>
  <c r="J484" i="4"/>
  <c r="K484" i="4" s="1"/>
  <c r="M484" i="4" s="1"/>
  <c r="N484" i="4" s="1"/>
  <c r="L483" i="4"/>
  <c r="J483" i="4"/>
  <c r="K483" i="4" s="1"/>
  <c r="M483" i="4" s="1"/>
  <c r="N483" i="4" s="1"/>
  <c r="L482" i="4"/>
  <c r="J482" i="4"/>
  <c r="K482" i="4" s="1"/>
  <c r="M482" i="4" s="1"/>
  <c r="N482" i="4" s="1"/>
  <c r="L481" i="4"/>
  <c r="J481" i="4"/>
  <c r="K481" i="4" s="1"/>
  <c r="M481" i="4" s="1"/>
  <c r="N481" i="4" s="1"/>
  <c r="L480" i="4"/>
  <c r="J480" i="4"/>
  <c r="K480" i="4" s="1"/>
  <c r="M480" i="4" s="1"/>
  <c r="N480" i="4" s="1"/>
  <c r="L479" i="4"/>
  <c r="J479" i="4"/>
  <c r="K479" i="4" s="1"/>
  <c r="M479" i="4" s="1"/>
  <c r="N479" i="4" s="1"/>
  <c r="L478" i="4"/>
  <c r="J478" i="4"/>
  <c r="K478" i="4" s="1"/>
  <c r="M478" i="4" s="1"/>
  <c r="N478" i="4" s="1"/>
  <c r="L477" i="4"/>
  <c r="J477" i="4"/>
  <c r="K477" i="4" s="1"/>
  <c r="M477" i="4" s="1"/>
  <c r="N477" i="4" s="1"/>
  <c r="L476" i="4"/>
  <c r="J476" i="4"/>
  <c r="K476" i="4" s="1"/>
  <c r="M476" i="4" s="1"/>
  <c r="N476" i="4" s="1"/>
  <c r="L475" i="4"/>
  <c r="J475" i="4"/>
  <c r="K475" i="4" s="1"/>
  <c r="M475" i="4" s="1"/>
  <c r="N475" i="4" s="1"/>
  <c r="L474" i="4"/>
  <c r="J474" i="4"/>
  <c r="K474" i="4" s="1"/>
  <c r="M474" i="4" s="1"/>
  <c r="N474" i="4" s="1"/>
  <c r="L473" i="4"/>
  <c r="J473" i="4"/>
  <c r="K473" i="4" s="1"/>
  <c r="M473" i="4" s="1"/>
  <c r="N473" i="4" s="1"/>
  <c r="L472" i="4"/>
  <c r="J472" i="4"/>
  <c r="K472" i="4" s="1"/>
  <c r="M472" i="4" s="1"/>
  <c r="N472" i="4" s="1"/>
  <c r="L471" i="4"/>
  <c r="J471" i="4"/>
  <c r="K471" i="4" s="1"/>
  <c r="M471" i="4" s="1"/>
  <c r="N471" i="4" s="1"/>
  <c r="L470" i="4"/>
  <c r="J470" i="4"/>
  <c r="K470" i="4" s="1"/>
  <c r="L469" i="4"/>
  <c r="J469" i="4"/>
  <c r="K469" i="4" s="1"/>
  <c r="L468" i="4"/>
  <c r="J468" i="4"/>
  <c r="K468" i="4" s="1"/>
  <c r="L467" i="4"/>
  <c r="J467" i="4"/>
  <c r="K467" i="4" s="1"/>
  <c r="M467" i="4" s="1"/>
  <c r="N467" i="4" s="1"/>
  <c r="L466" i="4"/>
  <c r="J466" i="4"/>
  <c r="K466" i="4" s="1"/>
  <c r="M466" i="4" s="1"/>
  <c r="N466" i="4" s="1"/>
  <c r="L465" i="4"/>
  <c r="J465" i="4"/>
  <c r="K465" i="4" s="1"/>
  <c r="M465" i="4" s="1"/>
  <c r="N465" i="4" s="1"/>
  <c r="L464" i="4"/>
  <c r="J464" i="4"/>
  <c r="K464" i="4" s="1"/>
  <c r="M464" i="4" s="1"/>
  <c r="N464" i="4" s="1"/>
  <c r="L463" i="4"/>
  <c r="J463" i="4"/>
  <c r="K463" i="4" s="1"/>
  <c r="L462" i="4"/>
  <c r="J462" i="4"/>
  <c r="K462" i="4" s="1"/>
  <c r="M462" i="4" s="1"/>
  <c r="N462" i="4" s="1"/>
  <c r="L461" i="4"/>
  <c r="J461" i="4"/>
  <c r="K461" i="4" s="1"/>
  <c r="L460" i="4"/>
  <c r="J460" i="4"/>
  <c r="K460" i="4" s="1"/>
  <c r="M460" i="4" s="1"/>
  <c r="N460" i="4" s="1"/>
  <c r="L459" i="4"/>
  <c r="J459" i="4"/>
  <c r="K459" i="4" s="1"/>
  <c r="M459" i="4" s="1"/>
  <c r="N459" i="4" s="1"/>
  <c r="L458" i="4"/>
  <c r="J458" i="4"/>
  <c r="K458" i="4" s="1"/>
  <c r="M458" i="4" s="1"/>
  <c r="N458" i="4" s="1"/>
  <c r="L457" i="4"/>
  <c r="J457" i="4"/>
  <c r="K457" i="4" s="1"/>
  <c r="L456" i="4"/>
  <c r="J456" i="4"/>
  <c r="K456" i="4" s="1"/>
  <c r="L455" i="4"/>
  <c r="J455" i="4"/>
  <c r="K455" i="4" s="1"/>
  <c r="L454" i="4"/>
  <c r="J454" i="4"/>
  <c r="K454" i="4" s="1"/>
  <c r="L453" i="4"/>
  <c r="J453" i="4"/>
  <c r="K453" i="4" s="1"/>
  <c r="L452" i="4"/>
  <c r="J452" i="4"/>
  <c r="K452" i="4" s="1"/>
  <c r="M452" i="4" s="1"/>
  <c r="N452" i="4" s="1"/>
  <c r="L451" i="4"/>
  <c r="J451" i="4"/>
  <c r="K451" i="4" s="1"/>
  <c r="L450" i="4"/>
  <c r="J450" i="4"/>
  <c r="K450" i="4" s="1"/>
  <c r="L449" i="4"/>
  <c r="J449" i="4"/>
  <c r="K449" i="4" s="1"/>
  <c r="M449" i="4" s="1"/>
  <c r="N449" i="4" s="1"/>
  <c r="L448" i="4"/>
  <c r="J448" i="4"/>
  <c r="K448" i="4" s="1"/>
  <c r="M448" i="4" s="1"/>
  <c r="N448" i="4" s="1"/>
  <c r="L447" i="4"/>
  <c r="J447" i="4"/>
  <c r="K447" i="4" s="1"/>
  <c r="M447" i="4" s="1"/>
  <c r="N447" i="4" s="1"/>
  <c r="L446" i="4"/>
  <c r="J446" i="4"/>
  <c r="K446" i="4" s="1"/>
  <c r="M446" i="4" s="1"/>
  <c r="N446" i="4" s="1"/>
  <c r="L445" i="4"/>
  <c r="J445" i="4"/>
  <c r="K445" i="4" s="1"/>
  <c r="M445" i="4" s="1"/>
  <c r="N445" i="4" s="1"/>
  <c r="L444" i="4"/>
  <c r="J444" i="4"/>
  <c r="K444" i="4" s="1"/>
  <c r="M444" i="4" s="1"/>
  <c r="N444" i="4" s="1"/>
  <c r="L443" i="4"/>
  <c r="J443" i="4"/>
  <c r="K443" i="4" s="1"/>
  <c r="M443" i="4" s="1"/>
  <c r="N443" i="4" s="1"/>
  <c r="L442" i="4"/>
  <c r="J442" i="4"/>
  <c r="K442" i="4" s="1"/>
  <c r="M442" i="4" s="1"/>
  <c r="N442" i="4" s="1"/>
  <c r="L441" i="4"/>
  <c r="J441" i="4"/>
  <c r="K441" i="4" s="1"/>
  <c r="M441" i="4" s="1"/>
  <c r="N441" i="4" s="1"/>
  <c r="L440" i="4"/>
  <c r="J440" i="4"/>
  <c r="K440" i="4" s="1"/>
  <c r="M440" i="4" s="1"/>
  <c r="N440" i="4" s="1"/>
  <c r="L439" i="4"/>
  <c r="J439" i="4"/>
  <c r="K439" i="4" s="1"/>
  <c r="M439" i="4" s="1"/>
  <c r="N439" i="4" s="1"/>
  <c r="L438" i="4"/>
  <c r="J438" i="4"/>
  <c r="K438" i="4" s="1"/>
  <c r="M438" i="4" s="1"/>
  <c r="N438" i="4" s="1"/>
  <c r="L437" i="4"/>
  <c r="J437" i="4"/>
  <c r="K437" i="4" s="1"/>
  <c r="M437" i="4" s="1"/>
  <c r="N437" i="4" s="1"/>
  <c r="L436" i="4"/>
  <c r="J436" i="4"/>
  <c r="K436" i="4" s="1"/>
  <c r="M436" i="4" s="1"/>
  <c r="N436" i="4" s="1"/>
  <c r="L435" i="4"/>
  <c r="J435" i="4"/>
  <c r="K435" i="4" s="1"/>
  <c r="M435" i="4" s="1"/>
  <c r="N435" i="4" s="1"/>
  <c r="L434" i="4"/>
  <c r="J434" i="4"/>
  <c r="K434" i="4" s="1"/>
  <c r="M434" i="4" s="1"/>
  <c r="N434" i="4" s="1"/>
  <c r="L433" i="4"/>
  <c r="J433" i="4"/>
  <c r="K433" i="4" s="1"/>
  <c r="M433" i="4" s="1"/>
  <c r="N433" i="4" s="1"/>
  <c r="L432" i="4"/>
  <c r="J432" i="4"/>
  <c r="K432" i="4" s="1"/>
  <c r="L431" i="4"/>
  <c r="J431" i="4"/>
  <c r="K431" i="4" s="1"/>
  <c r="M431" i="4" s="1"/>
  <c r="N431" i="4" s="1"/>
  <c r="L430" i="4"/>
  <c r="J430" i="4"/>
  <c r="K430" i="4" s="1"/>
  <c r="L429" i="4"/>
  <c r="J429" i="4"/>
  <c r="K429" i="4" s="1"/>
  <c r="L428" i="4"/>
  <c r="J428" i="4"/>
  <c r="K428" i="4" s="1"/>
  <c r="L427" i="4"/>
  <c r="J427" i="4"/>
  <c r="K427" i="4" s="1"/>
  <c r="L426" i="4"/>
  <c r="J426" i="4"/>
  <c r="K426" i="4" s="1"/>
  <c r="M426" i="4" s="1"/>
  <c r="N426" i="4" s="1"/>
  <c r="L425" i="4"/>
  <c r="J425" i="4"/>
  <c r="K425" i="4" s="1"/>
  <c r="L424" i="4"/>
  <c r="J424" i="4"/>
  <c r="K424" i="4" s="1"/>
  <c r="L423" i="4"/>
  <c r="J423" i="4"/>
  <c r="K423" i="4" s="1"/>
  <c r="L422" i="4"/>
  <c r="J422" i="4"/>
  <c r="K422" i="4" s="1"/>
  <c r="L421" i="4"/>
  <c r="J421" i="4"/>
  <c r="K421" i="4" s="1"/>
  <c r="L420" i="4"/>
  <c r="J420" i="4"/>
  <c r="K420" i="4" s="1"/>
  <c r="M420" i="4" s="1"/>
  <c r="N420" i="4" s="1"/>
  <c r="L419" i="4"/>
  <c r="J419" i="4"/>
  <c r="K419" i="4" s="1"/>
  <c r="L418" i="4"/>
  <c r="J418" i="4"/>
  <c r="K418" i="4" s="1"/>
  <c r="M418" i="4" s="1"/>
  <c r="N418" i="4" s="1"/>
  <c r="L417" i="4"/>
  <c r="J417" i="4"/>
  <c r="K417" i="4" s="1"/>
  <c r="M417" i="4" s="1"/>
  <c r="N417" i="4" s="1"/>
  <c r="L416" i="4"/>
  <c r="J416" i="4"/>
  <c r="K416" i="4" s="1"/>
  <c r="M416" i="4" s="1"/>
  <c r="N416" i="4" s="1"/>
  <c r="L415" i="4"/>
  <c r="J415" i="4"/>
  <c r="K415" i="4" s="1"/>
  <c r="M415" i="4" s="1"/>
  <c r="N415" i="4" s="1"/>
  <c r="L414" i="4"/>
  <c r="J414" i="4"/>
  <c r="K414" i="4" s="1"/>
  <c r="L413" i="4"/>
  <c r="J413" i="4"/>
  <c r="K413" i="4" s="1"/>
  <c r="M413" i="4" s="1"/>
  <c r="N413" i="4" s="1"/>
  <c r="L412" i="4"/>
  <c r="J412" i="4"/>
  <c r="K412" i="4" s="1"/>
  <c r="L411" i="4"/>
  <c r="J411" i="4"/>
  <c r="K411" i="4" s="1"/>
  <c r="M411" i="4" s="1"/>
  <c r="N411" i="4" s="1"/>
  <c r="L410" i="4"/>
  <c r="J410" i="4"/>
  <c r="K410" i="4" s="1"/>
  <c r="M410" i="4" s="1"/>
  <c r="N410" i="4" s="1"/>
  <c r="L409" i="4"/>
  <c r="J409" i="4"/>
  <c r="K409" i="4" s="1"/>
  <c r="L408" i="4"/>
  <c r="J408" i="4"/>
  <c r="K408" i="4" s="1"/>
  <c r="L407" i="4"/>
  <c r="J407" i="4"/>
  <c r="K407" i="4" s="1"/>
  <c r="L406" i="4"/>
  <c r="J406" i="4"/>
  <c r="K406" i="4" s="1"/>
  <c r="L405" i="4"/>
  <c r="J405" i="4"/>
  <c r="K405" i="4" s="1"/>
  <c r="M405" i="4" s="1"/>
  <c r="N405" i="4" s="1"/>
  <c r="L404" i="4"/>
  <c r="J404" i="4"/>
  <c r="K404" i="4" s="1"/>
  <c r="L403" i="4"/>
  <c r="J403" i="4"/>
  <c r="K403" i="4" s="1"/>
  <c r="M403" i="4" s="1"/>
  <c r="N403" i="4" s="1"/>
  <c r="L402" i="4"/>
  <c r="J402" i="4"/>
  <c r="K402" i="4" s="1"/>
  <c r="M402" i="4" s="1"/>
  <c r="N402" i="4" s="1"/>
  <c r="L401" i="4"/>
  <c r="J401" i="4"/>
  <c r="K401" i="4" s="1"/>
  <c r="M401" i="4" s="1"/>
  <c r="N401" i="4" s="1"/>
  <c r="L400" i="4"/>
  <c r="J400" i="4"/>
  <c r="K400" i="4" s="1"/>
  <c r="M400" i="4" s="1"/>
  <c r="N400" i="4" s="1"/>
  <c r="L399" i="4"/>
  <c r="J399" i="4"/>
  <c r="K399" i="4" s="1"/>
  <c r="M399" i="4" s="1"/>
  <c r="N399" i="4" s="1"/>
  <c r="L398" i="4"/>
  <c r="J398" i="4"/>
  <c r="K398" i="4" s="1"/>
  <c r="M398" i="4" s="1"/>
  <c r="N398" i="4" s="1"/>
  <c r="L397" i="4"/>
  <c r="J397" i="4"/>
  <c r="K397" i="4" s="1"/>
  <c r="M397" i="4" s="1"/>
  <c r="N397" i="4" s="1"/>
  <c r="L396" i="4"/>
  <c r="J396" i="4"/>
  <c r="K396" i="4" s="1"/>
  <c r="M396" i="4" s="1"/>
  <c r="N396" i="4" s="1"/>
  <c r="L395" i="4"/>
  <c r="J395" i="4"/>
  <c r="K395" i="4" s="1"/>
  <c r="M395" i="4" s="1"/>
  <c r="N395" i="4" s="1"/>
  <c r="L394" i="4"/>
  <c r="J394" i="4"/>
  <c r="K394" i="4" s="1"/>
  <c r="M394" i="4" s="1"/>
  <c r="N394" i="4" s="1"/>
  <c r="L393" i="4"/>
  <c r="J393" i="4"/>
  <c r="K393" i="4" s="1"/>
  <c r="M393" i="4" s="1"/>
  <c r="N393" i="4" s="1"/>
  <c r="L392" i="4"/>
  <c r="J392" i="4"/>
  <c r="K392" i="4" s="1"/>
  <c r="M392" i="4" s="1"/>
  <c r="N392" i="4" s="1"/>
  <c r="L391" i="4"/>
  <c r="J391" i="4"/>
  <c r="K391" i="4" s="1"/>
  <c r="M391" i="4" s="1"/>
  <c r="N391" i="4" s="1"/>
  <c r="L390" i="4"/>
  <c r="J390" i="4"/>
  <c r="K390" i="4" s="1"/>
  <c r="M390" i="4" s="1"/>
  <c r="N390" i="4" s="1"/>
  <c r="L389" i="4"/>
  <c r="J389" i="4"/>
  <c r="K389" i="4" s="1"/>
  <c r="M389" i="4" s="1"/>
  <c r="N389" i="4" s="1"/>
  <c r="L388" i="4"/>
  <c r="J388" i="4"/>
  <c r="K388" i="4" s="1"/>
  <c r="M388" i="4" s="1"/>
  <c r="N388" i="4" s="1"/>
  <c r="L387" i="4"/>
  <c r="J387" i="4"/>
  <c r="K387" i="4" s="1"/>
  <c r="M387" i="4" s="1"/>
  <c r="N387" i="4" s="1"/>
  <c r="L386" i="4"/>
  <c r="J386" i="4"/>
  <c r="K386" i="4" s="1"/>
  <c r="L385" i="4"/>
  <c r="J385" i="4"/>
  <c r="K385" i="4" s="1"/>
  <c r="M385" i="4" s="1"/>
  <c r="N385" i="4" s="1"/>
  <c r="L384" i="4"/>
  <c r="J384" i="4"/>
  <c r="K384" i="4" s="1"/>
  <c r="M384" i="4" s="1"/>
  <c r="N384" i="4" s="1"/>
  <c r="L383" i="4"/>
  <c r="J383" i="4"/>
  <c r="K383" i="4" s="1"/>
  <c r="L382" i="4"/>
  <c r="J382" i="4"/>
  <c r="K382" i="4" s="1"/>
  <c r="M382" i="4" s="1"/>
  <c r="N382" i="4" s="1"/>
  <c r="L381" i="4"/>
  <c r="J381" i="4"/>
  <c r="K381" i="4" s="1"/>
  <c r="M381" i="4" s="1"/>
  <c r="N381" i="4" s="1"/>
  <c r="L380" i="4"/>
  <c r="J380" i="4"/>
  <c r="K380" i="4" s="1"/>
  <c r="M380" i="4" s="1"/>
  <c r="N380" i="4" s="1"/>
  <c r="L379" i="4"/>
  <c r="J379" i="4"/>
  <c r="K379" i="4" s="1"/>
  <c r="L378" i="4"/>
  <c r="J378" i="4"/>
  <c r="K378" i="4" s="1"/>
  <c r="L377" i="4"/>
  <c r="J377" i="4"/>
  <c r="K377" i="4" s="1"/>
  <c r="M377" i="4" s="1"/>
  <c r="N377" i="4" s="1"/>
  <c r="L376" i="4"/>
  <c r="J376" i="4"/>
  <c r="K376" i="4" s="1"/>
  <c r="L375" i="4"/>
  <c r="J375" i="4"/>
  <c r="K375" i="4" s="1"/>
  <c r="M375" i="4" s="1"/>
  <c r="N375" i="4" s="1"/>
  <c r="L374" i="4"/>
  <c r="J374" i="4"/>
  <c r="K374" i="4" s="1"/>
  <c r="M374" i="4" s="1"/>
  <c r="N374" i="4" s="1"/>
  <c r="L373" i="4"/>
  <c r="J373" i="4"/>
  <c r="K373" i="4" s="1"/>
  <c r="M373" i="4" s="1"/>
  <c r="N373" i="4" s="1"/>
  <c r="L372" i="4"/>
  <c r="J372" i="4"/>
  <c r="K372" i="4" s="1"/>
  <c r="M372" i="4" s="1"/>
  <c r="N372" i="4" s="1"/>
  <c r="L371" i="4"/>
  <c r="J371" i="4"/>
  <c r="K371" i="4" s="1"/>
  <c r="M371" i="4" s="1"/>
  <c r="N371" i="4" s="1"/>
  <c r="L370" i="4"/>
  <c r="J370" i="4"/>
  <c r="K370" i="4" s="1"/>
  <c r="M370" i="4" s="1"/>
  <c r="N370" i="4" s="1"/>
  <c r="L369" i="4"/>
  <c r="J369" i="4"/>
  <c r="K369" i="4" s="1"/>
  <c r="L368" i="4"/>
  <c r="J368" i="4"/>
  <c r="K368" i="4" s="1"/>
  <c r="M368" i="4" s="1"/>
  <c r="N368" i="4" s="1"/>
  <c r="L367" i="4"/>
  <c r="J367" i="4"/>
  <c r="K367" i="4" s="1"/>
  <c r="L366" i="4"/>
  <c r="J366" i="4"/>
  <c r="K366" i="4" s="1"/>
  <c r="L365" i="4"/>
  <c r="J365" i="4"/>
  <c r="K365" i="4" s="1"/>
  <c r="L364" i="4"/>
  <c r="J364" i="4"/>
  <c r="K364" i="4" s="1"/>
  <c r="M364" i="4" s="1"/>
  <c r="N364" i="4" s="1"/>
  <c r="L363" i="4"/>
  <c r="J363" i="4"/>
  <c r="K363" i="4" s="1"/>
  <c r="M363" i="4" s="1"/>
  <c r="N363" i="4" s="1"/>
  <c r="L362" i="4"/>
  <c r="J362" i="4"/>
  <c r="K362" i="4" s="1"/>
  <c r="M362" i="4" s="1"/>
  <c r="N362" i="4" s="1"/>
  <c r="L361" i="4"/>
  <c r="J361" i="4"/>
  <c r="K361" i="4" s="1"/>
  <c r="M361" i="4" s="1"/>
  <c r="N361" i="4" s="1"/>
  <c r="L360" i="4"/>
  <c r="J360" i="4"/>
  <c r="K360" i="4" s="1"/>
  <c r="M360" i="4" s="1"/>
  <c r="N360" i="4" s="1"/>
  <c r="L359" i="4"/>
  <c r="J359" i="4"/>
  <c r="K359" i="4" s="1"/>
  <c r="M359" i="4" s="1"/>
  <c r="N359" i="4" s="1"/>
  <c r="L358" i="4"/>
  <c r="J358" i="4"/>
  <c r="K358" i="4" s="1"/>
  <c r="L357" i="4"/>
  <c r="J357" i="4"/>
  <c r="K357" i="4" s="1"/>
  <c r="L356" i="4"/>
  <c r="J356" i="4"/>
  <c r="K356" i="4" s="1"/>
  <c r="M356" i="4" s="1"/>
  <c r="N356" i="4" s="1"/>
  <c r="L355" i="4"/>
  <c r="J355" i="4"/>
  <c r="K355" i="4" s="1"/>
  <c r="L354" i="4"/>
  <c r="J354" i="4"/>
  <c r="K354" i="4" s="1"/>
  <c r="M354" i="4" s="1"/>
  <c r="N354" i="4" s="1"/>
  <c r="L353" i="4"/>
  <c r="J353" i="4"/>
  <c r="K353" i="4" s="1"/>
  <c r="M353" i="4" s="1"/>
  <c r="N353" i="4" s="1"/>
  <c r="L352" i="4"/>
  <c r="J352" i="4"/>
  <c r="K352" i="4" s="1"/>
  <c r="M352" i="4" s="1"/>
  <c r="N352" i="4" s="1"/>
  <c r="L351" i="4"/>
  <c r="J351" i="4"/>
  <c r="K351" i="4" s="1"/>
  <c r="M351" i="4" s="1"/>
  <c r="N351" i="4" s="1"/>
  <c r="L350" i="4"/>
  <c r="J350" i="4"/>
  <c r="K350" i="4" s="1"/>
  <c r="M350" i="4" s="1"/>
  <c r="N350" i="4" s="1"/>
  <c r="L349" i="4"/>
  <c r="J349" i="4"/>
  <c r="K349" i="4" s="1"/>
  <c r="M349" i="4" s="1"/>
  <c r="N349" i="4" s="1"/>
  <c r="L348" i="4"/>
  <c r="J348" i="4"/>
  <c r="K348" i="4" s="1"/>
  <c r="M348" i="4" s="1"/>
  <c r="N348" i="4" s="1"/>
  <c r="L347" i="4"/>
  <c r="J347" i="4"/>
  <c r="K347" i="4" s="1"/>
  <c r="M347" i="4" s="1"/>
  <c r="N347" i="4" s="1"/>
  <c r="L346" i="4"/>
  <c r="J346" i="4"/>
  <c r="K346" i="4" s="1"/>
  <c r="M346" i="4" s="1"/>
  <c r="N346" i="4" s="1"/>
  <c r="L345" i="4"/>
  <c r="J345" i="4"/>
  <c r="K345" i="4" s="1"/>
  <c r="M345" i="4" s="1"/>
  <c r="N345" i="4" s="1"/>
  <c r="L344" i="4"/>
  <c r="J344" i="4"/>
  <c r="K344" i="4" s="1"/>
  <c r="M344" i="4" s="1"/>
  <c r="N344" i="4" s="1"/>
  <c r="L343" i="4"/>
  <c r="J343" i="4"/>
  <c r="K343" i="4" s="1"/>
  <c r="M343" i="4" s="1"/>
  <c r="N343" i="4" s="1"/>
  <c r="L342" i="4"/>
  <c r="J342" i="4"/>
  <c r="K342" i="4" s="1"/>
  <c r="M342" i="4" s="1"/>
  <c r="N342" i="4" s="1"/>
  <c r="L341" i="4"/>
  <c r="J341" i="4"/>
  <c r="K341" i="4" s="1"/>
  <c r="M341" i="4" s="1"/>
  <c r="N341" i="4" s="1"/>
  <c r="L340" i="4"/>
  <c r="J340" i="4"/>
  <c r="K340" i="4" s="1"/>
  <c r="M340" i="4" s="1"/>
  <c r="N340" i="4" s="1"/>
  <c r="L339" i="4"/>
  <c r="J339" i="4"/>
  <c r="K339" i="4" s="1"/>
  <c r="M339" i="4" s="1"/>
  <c r="N339" i="4" s="1"/>
  <c r="L338" i="4"/>
  <c r="J338" i="4"/>
  <c r="K338" i="4" s="1"/>
  <c r="M338" i="4" s="1"/>
  <c r="N338" i="4" s="1"/>
  <c r="L337" i="4"/>
  <c r="J337" i="4"/>
  <c r="K337" i="4" s="1"/>
  <c r="M337" i="4" s="1"/>
  <c r="N337" i="4" s="1"/>
  <c r="L336" i="4"/>
  <c r="J336" i="4"/>
  <c r="K336" i="4" s="1"/>
  <c r="M336" i="4" s="1"/>
  <c r="N336" i="4" s="1"/>
  <c r="L335" i="4"/>
  <c r="J335" i="4"/>
  <c r="K335" i="4" s="1"/>
  <c r="M335" i="4" s="1"/>
  <c r="N335" i="4" s="1"/>
  <c r="L334" i="4"/>
  <c r="J334" i="4"/>
  <c r="K334" i="4" s="1"/>
  <c r="L333" i="4"/>
  <c r="J333" i="4"/>
  <c r="K333" i="4" s="1"/>
  <c r="M333" i="4" s="1"/>
  <c r="N333" i="4" s="1"/>
  <c r="L332" i="4"/>
  <c r="J332" i="4"/>
  <c r="K332" i="4" s="1"/>
  <c r="M332" i="4" s="1"/>
  <c r="N332" i="4" s="1"/>
  <c r="L331" i="4"/>
  <c r="J331" i="4"/>
  <c r="K331" i="4" s="1"/>
  <c r="M331" i="4" s="1"/>
  <c r="N331" i="4" s="1"/>
  <c r="L330" i="4"/>
  <c r="J330" i="4"/>
  <c r="K330" i="4" s="1"/>
  <c r="L329" i="4"/>
  <c r="J329" i="4"/>
  <c r="K329" i="4" s="1"/>
  <c r="M329" i="4" s="1"/>
  <c r="N329" i="4" s="1"/>
  <c r="L328" i="4"/>
  <c r="J328" i="4"/>
  <c r="K328" i="4" s="1"/>
  <c r="M328" i="4" s="1"/>
  <c r="N328" i="4" s="1"/>
  <c r="L327" i="4"/>
  <c r="J327" i="4"/>
  <c r="K327" i="4" s="1"/>
  <c r="M327" i="4" s="1"/>
  <c r="N327" i="4" s="1"/>
  <c r="L326" i="4"/>
  <c r="J326" i="4"/>
  <c r="K326" i="4" s="1"/>
  <c r="M326" i="4" s="1"/>
  <c r="N326" i="4" s="1"/>
  <c r="L325" i="4"/>
  <c r="J325" i="4"/>
  <c r="K325" i="4" s="1"/>
  <c r="M325" i="4" s="1"/>
  <c r="N325" i="4" s="1"/>
  <c r="L324" i="4"/>
  <c r="J324" i="4"/>
  <c r="K324" i="4" s="1"/>
  <c r="M324" i="4" s="1"/>
  <c r="N324" i="4" s="1"/>
  <c r="L323" i="4"/>
  <c r="J323" i="4"/>
  <c r="K323" i="4" s="1"/>
  <c r="M323" i="4" s="1"/>
  <c r="N323" i="4" s="1"/>
  <c r="L322" i="4"/>
  <c r="J322" i="4"/>
  <c r="K322" i="4" s="1"/>
  <c r="M322" i="4" s="1"/>
  <c r="N322" i="4" s="1"/>
  <c r="L321" i="4"/>
  <c r="J321" i="4"/>
  <c r="K321" i="4" s="1"/>
  <c r="M321" i="4" s="1"/>
  <c r="N321" i="4" s="1"/>
  <c r="L320" i="4"/>
  <c r="J320" i="4"/>
  <c r="K320" i="4" s="1"/>
  <c r="M320" i="4" s="1"/>
  <c r="N320" i="4" s="1"/>
  <c r="L319" i="4"/>
  <c r="J319" i="4"/>
  <c r="K319" i="4" s="1"/>
  <c r="M319" i="4" s="1"/>
  <c r="N319" i="4" s="1"/>
  <c r="L318" i="4"/>
  <c r="J318" i="4"/>
  <c r="K318" i="4" s="1"/>
  <c r="M318" i="4" s="1"/>
  <c r="N318" i="4" s="1"/>
  <c r="L317" i="4"/>
  <c r="J317" i="4"/>
  <c r="K317" i="4" s="1"/>
  <c r="L316" i="4"/>
  <c r="J316" i="4"/>
  <c r="K316" i="4" s="1"/>
  <c r="M316" i="4" s="1"/>
  <c r="N316" i="4" s="1"/>
  <c r="L315" i="4"/>
  <c r="J315" i="4"/>
  <c r="K315" i="4" s="1"/>
  <c r="L314" i="4"/>
  <c r="J314" i="4"/>
  <c r="K314" i="4" s="1"/>
  <c r="L313" i="4"/>
  <c r="J313" i="4"/>
  <c r="K313" i="4" s="1"/>
  <c r="L312" i="4"/>
  <c r="J312" i="4"/>
  <c r="K312" i="4" s="1"/>
  <c r="L311" i="4"/>
  <c r="J311" i="4"/>
  <c r="K311" i="4" s="1"/>
  <c r="L310" i="4"/>
  <c r="J310" i="4"/>
  <c r="K310" i="4" s="1"/>
  <c r="L309" i="4"/>
  <c r="J309" i="4"/>
  <c r="K309" i="4" s="1"/>
  <c r="L308" i="4"/>
  <c r="J308" i="4"/>
  <c r="K308" i="4" s="1"/>
  <c r="M308" i="4" s="1"/>
  <c r="N308" i="4" s="1"/>
  <c r="L307" i="4"/>
  <c r="J307" i="4"/>
  <c r="K307" i="4" s="1"/>
  <c r="L306" i="4"/>
  <c r="J306" i="4"/>
  <c r="K306" i="4" s="1"/>
  <c r="L305" i="4"/>
  <c r="J305" i="4"/>
  <c r="K305" i="4" s="1"/>
  <c r="L304" i="4"/>
  <c r="J304" i="4"/>
  <c r="K304" i="4" s="1"/>
  <c r="M304" i="4" s="1"/>
  <c r="N304" i="4" s="1"/>
  <c r="L303" i="4"/>
  <c r="J303" i="4"/>
  <c r="K303" i="4" s="1"/>
  <c r="L302" i="4"/>
  <c r="J302" i="4"/>
  <c r="K302" i="4" s="1"/>
  <c r="L301" i="4"/>
  <c r="J301" i="4"/>
  <c r="K301" i="4" s="1"/>
  <c r="L300" i="4"/>
  <c r="J300" i="4"/>
  <c r="K300" i="4" s="1"/>
  <c r="M300" i="4" s="1"/>
  <c r="N300" i="4" s="1"/>
  <c r="L299" i="4"/>
  <c r="J299" i="4"/>
  <c r="K299" i="4" s="1"/>
  <c r="M299" i="4" s="1"/>
  <c r="N299" i="4" s="1"/>
  <c r="L298" i="4"/>
  <c r="J298" i="4"/>
  <c r="K298" i="4" s="1"/>
  <c r="M298" i="4" s="1"/>
  <c r="N298" i="4" s="1"/>
  <c r="L297" i="4"/>
  <c r="J297" i="4"/>
  <c r="K297" i="4" s="1"/>
  <c r="L296" i="4"/>
  <c r="J296" i="4"/>
  <c r="K296" i="4" s="1"/>
  <c r="L295" i="4"/>
  <c r="J295" i="4"/>
  <c r="K295" i="4" s="1"/>
  <c r="M295" i="4" s="1"/>
  <c r="N295" i="4" s="1"/>
  <c r="L294" i="4"/>
  <c r="J294" i="4"/>
  <c r="K294" i="4" s="1"/>
  <c r="L293" i="4"/>
  <c r="J293" i="4"/>
  <c r="K293" i="4" s="1"/>
  <c r="M293" i="4" s="1"/>
  <c r="N293" i="4" s="1"/>
  <c r="L292" i="4"/>
  <c r="J292" i="4"/>
  <c r="K292" i="4" s="1"/>
  <c r="M292" i="4" s="1"/>
  <c r="N292" i="4" s="1"/>
  <c r="L291" i="4"/>
  <c r="J291" i="4"/>
  <c r="K291" i="4" s="1"/>
  <c r="M291" i="4" s="1"/>
  <c r="N291" i="4" s="1"/>
  <c r="L290" i="4"/>
  <c r="J290" i="4"/>
  <c r="K290" i="4" s="1"/>
  <c r="M290" i="4" s="1"/>
  <c r="N290" i="4" s="1"/>
  <c r="L289" i="4"/>
  <c r="J289" i="4"/>
  <c r="K289" i="4" s="1"/>
  <c r="M289" i="4" s="1"/>
  <c r="N289" i="4" s="1"/>
  <c r="L288" i="4"/>
  <c r="J288" i="4"/>
  <c r="K288" i="4" s="1"/>
  <c r="M288" i="4" s="1"/>
  <c r="N288" i="4" s="1"/>
  <c r="L287" i="4"/>
  <c r="J287" i="4"/>
  <c r="K287" i="4" s="1"/>
  <c r="L286" i="4"/>
  <c r="J286" i="4"/>
  <c r="K286" i="4" s="1"/>
  <c r="M286" i="4" s="1"/>
  <c r="N286" i="4" s="1"/>
  <c r="L285" i="4"/>
  <c r="J285" i="4"/>
  <c r="K285" i="4" s="1"/>
  <c r="M285" i="4" s="1"/>
  <c r="N285" i="4" s="1"/>
  <c r="L284" i="4"/>
  <c r="J284" i="4"/>
  <c r="K284" i="4" s="1"/>
  <c r="L283" i="4"/>
  <c r="J283" i="4"/>
  <c r="K283" i="4" s="1"/>
  <c r="M283" i="4" s="1"/>
  <c r="N283" i="4" s="1"/>
  <c r="L282" i="4"/>
  <c r="J282" i="4"/>
  <c r="K282" i="4" s="1"/>
  <c r="L281" i="4"/>
  <c r="J281" i="4"/>
  <c r="K281" i="4" s="1"/>
  <c r="M281" i="4" s="1"/>
  <c r="N281" i="4" s="1"/>
  <c r="L280" i="4"/>
  <c r="J280" i="4"/>
  <c r="K280" i="4" s="1"/>
  <c r="L279" i="4"/>
  <c r="J279" i="4"/>
  <c r="K279" i="4" s="1"/>
  <c r="L278" i="4"/>
  <c r="J278" i="4"/>
  <c r="K278" i="4" s="1"/>
  <c r="L277" i="4"/>
  <c r="J277" i="4"/>
  <c r="K277" i="4" s="1"/>
  <c r="L276" i="4"/>
  <c r="J276" i="4"/>
  <c r="K276" i="4" s="1"/>
  <c r="L275" i="4"/>
  <c r="J275" i="4"/>
  <c r="K275" i="4" s="1"/>
  <c r="L274" i="4"/>
  <c r="J274" i="4"/>
  <c r="K274" i="4" s="1"/>
  <c r="M274" i="4" s="1"/>
  <c r="N274" i="4" s="1"/>
  <c r="L273" i="4"/>
  <c r="J273" i="4"/>
  <c r="K273" i="4" s="1"/>
  <c r="L272" i="4"/>
  <c r="J272" i="4"/>
  <c r="K272" i="4" s="1"/>
  <c r="L271" i="4"/>
  <c r="J271" i="4"/>
  <c r="K271" i="4" s="1"/>
  <c r="L270" i="4"/>
  <c r="J270" i="4"/>
  <c r="K270" i="4" s="1"/>
  <c r="M270" i="4" s="1"/>
  <c r="N270" i="4" s="1"/>
  <c r="L269" i="4"/>
  <c r="J269" i="4"/>
  <c r="K269" i="4" s="1"/>
  <c r="L268" i="4"/>
  <c r="J268" i="4"/>
  <c r="K268" i="4" s="1"/>
  <c r="L267" i="4"/>
  <c r="J267" i="4"/>
  <c r="K267" i="4" s="1"/>
  <c r="M267" i="4" s="1"/>
  <c r="N267" i="4" s="1"/>
  <c r="L266" i="4"/>
  <c r="J266" i="4"/>
  <c r="K266" i="4" s="1"/>
  <c r="L265" i="4"/>
  <c r="J265" i="4"/>
  <c r="K265" i="4" s="1"/>
  <c r="L264" i="4"/>
  <c r="J264" i="4"/>
  <c r="K264" i="4" s="1"/>
  <c r="L263" i="4"/>
  <c r="J263" i="4"/>
  <c r="K263" i="4" s="1"/>
  <c r="L262" i="4"/>
  <c r="J262" i="4"/>
  <c r="K262" i="4" s="1"/>
  <c r="L261" i="4"/>
  <c r="J261" i="4"/>
  <c r="K261" i="4" s="1"/>
  <c r="L260" i="4"/>
  <c r="J260" i="4"/>
  <c r="K260" i="4" s="1"/>
  <c r="M260" i="4" s="1"/>
  <c r="N260" i="4" s="1"/>
  <c r="L259" i="4"/>
  <c r="J259" i="4"/>
  <c r="K259" i="4" s="1"/>
  <c r="L258" i="4"/>
  <c r="J258" i="4"/>
  <c r="K258" i="4" s="1"/>
  <c r="M258" i="4" s="1"/>
  <c r="N258" i="4" s="1"/>
  <c r="L257" i="4"/>
  <c r="J257" i="4"/>
  <c r="K257" i="4" s="1"/>
  <c r="M257" i="4" s="1"/>
  <c r="N257" i="4" s="1"/>
  <c r="L256" i="4"/>
  <c r="J256" i="4"/>
  <c r="K256" i="4" s="1"/>
  <c r="L255" i="4"/>
  <c r="J255" i="4"/>
  <c r="K255" i="4" s="1"/>
  <c r="L254" i="4"/>
  <c r="J254" i="4"/>
  <c r="K254" i="4" s="1"/>
  <c r="L253" i="4"/>
  <c r="J253" i="4"/>
  <c r="K253" i="4" s="1"/>
  <c r="L252" i="4"/>
  <c r="J252" i="4"/>
  <c r="K252" i="4" s="1"/>
  <c r="L251" i="4"/>
  <c r="J251" i="4"/>
  <c r="K251" i="4" s="1"/>
  <c r="L250" i="4"/>
  <c r="J250" i="4"/>
  <c r="K250" i="4" s="1"/>
  <c r="L249" i="4"/>
  <c r="J249" i="4"/>
  <c r="K249" i="4" s="1"/>
  <c r="L248" i="4"/>
  <c r="J248" i="4"/>
  <c r="K248" i="4" s="1"/>
  <c r="L247" i="4"/>
  <c r="J247" i="4"/>
  <c r="K247" i="4" s="1"/>
  <c r="L246" i="4"/>
  <c r="J246" i="4"/>
  <c r="K246" i="4" s="1"/>
  <c r="L245" i="4"/>
  <c r="J245" i="4"/>
  <c r="K245" i="4" s="1"/>
  <c r="M245" i="4" s="1"/>
  <c r="N245" i="4" s="1"/>
  <c r="L244" i="4"/>
  <c r="J244" i="4"/>
  <c r="K244" i="4" s="1"/>
  <c r="L243" i="4"/>
  <c r="J243" i="4"/>
  <c r="K243" i="4" s="1"/>
  <c r="L242" i="4"/>
  <c r="J242" i="4"/>
  <c r="K242" i="4" s="1"/>
  <c r="L241" i="4"/>
  <c r="J241" i="4"/>
  <c r="K241" i="4" s="1"/>
  <c r="M241" i="4" s="1"/>
  <c r="N241" i="4" s="1"/>
  <c r="L240" i="4"/>
  <c r="J240" i="4"/>
  <c r="K240" i="4" s="1"/>
  <c r="L239" i="4"/>
  <c r="J239" i="4"/>
  <c r="K239" i="4" s="1"/>
  <c r="L238" i="4"/>
  <c r="J238" i="4"/>
  <c r="K238" i="4" s="1"/>
  <c r="M238" i="4" s="1"/>
  <c r="N238" i="4" s="1"/>
  <c r="L237" i="4"/>
  <c r="J237" i="4"/>
  <c r="K237" i="4" s="1"/>
  <c r="M237" i="4" s="1"/>
  <c r="N237" i="4" s="1"/>
  <c r="L236" i="4"/>
  <c r="J236" i="4"/>
  <c r="K236" i="4" s="1"/>
  <c r="M236" i="4" s="1"/>
  <c r="N236" i="4" s="1"/>
  <c r="L235" i="4"/>
  <c r="J235" i="4"/>
  <c r="K235" i="4" s="1"/>
  <c r="M235" i="4" s="1"/>
  <c r="N235" i="4" s="1"/>
  <c r="L234" i="4"/>
  <c r="J234" i="4"/>
  <c r="K234" i="4" s="1"/>
  <c r="M234" i="4" s="1"/>
  <c r="N234" i="4" s="1"/>
  <c r="L233" i="4"/>
  <c r="J233" i="4"/>
  <c r="K233" i="4" s="1"/>
  <c r="M233" i="4" s="1"/>
  <c r="N233" i="4" s="1"/>
  <c r="L232" i="4"/>
  <c r="J232" i="4"/>
  <c r="K232" i="4" s="1"/>
  <c r="M232" i="4" s="1"/>
  <c r="N232" i="4" s="1"/>
  <c r="L231" i="4"/>
  <c r="J231" i="4"/>
  <c r="K231" i="4" s="1"/>
  <c r="M231" i="4" s="1"/>
  <c r="N231" i="4" s="1"/>
  <c r="L230" i="4"/>
  <c r="J230" i="4"/>
  <c r="K230" i="4" s="1"/>
  <c r="M230" i="4" s="1"/>
  <c r="N230" i="4" s="1"/>
  <c r="L229" i="4"/>
  <c r="J229" i="4"/>
  <c r="K229" i="4" s="1"/>
  <c r="M229" i="4" s="1"/>
  <c r="N229" i="4" s="1"/>
  <c r="L228" i="4"/>
  <c r="J228" i="4"/>
  <c r="K228" i="4" s="1"/>
  <c r="M228" i="4" s="1"/>
  <c r="N228" i="4" s="1"/>
  <c r="L227" i="4"/>
  <c r="J227" i="4"/>
  <c r="K227" i="4" s="1"/>
  <c r="M227" i="4" s="1"/>
  <c r="N227" i="4" s="1"/>
  <c r="L226" i="4"/>
  <c r="J226" i="4"/>
  <c r="K226" i="4" s="1"/>
  <c r="L225" i="4"/>
  <c r="J225" i="4"/>
  <c r="K225" i="4" s="1"/>
  <c r="L224" i="4"/>
  <c r="J224" i="4"/>
  <c r="K224" i="4" s="1"/>
  <c r="L223" i="4"/>
  <c r="J223" i="4"/>
  <c r="K223" i="4" s="1"/>
  <c r="L222" i="4"/>
  <c r="J222" i="4"/>
  <c r="K222" i="4" s="1"/>
  <c r="L221" i="4"/>
  <c r="J221" i="4"/>
  <c r="K221" i="4" s="1"/>
  <c r="L220" i="4"/>
  <c r="J220" i="4"/>
  <c r="K220" i="4" s="1"/>
  <c r="M220" i="4" s="1"/>
  <c r="N220" i="4" s="1"/>
  <c r="L219" i="4"/>
  <c r="J219" i="4"/>
  <c r="K219" i="4" s="1"/>
  <c r="L218" i="4"/>
  <c r="J218" i="4"/>
  <c r="K218" i="4" s="1"/>
  <c r="L217" i="4"/>
  <c r="J217" i="4"/>
  <c r="K217" i="4" s="1"/>
  <c r="L216" i="4"/>
  <c r="J216" i="4"/>
  <c r="K216" i="4" s="1"/>
  <c r="L215" i="4"/>
  <c r="J215" i="4"/>
  <c r="K215" i="4" s="1"/>
  <c r="L214" i="4"/>
  <c r="J214" i="4"/>
  <c r="K214" i="4" s="1"/>
  <c r="L213" i="4"/>
  <c r="J213" i="4"/>
  <c r="K213" i="4" s="1"/>
  <c r="L212" i="4"/>
  <c r="J212" i="4"/>
  <c r="K212" i="4" s="1"/>
  <c r="L211" i="4"/>
  <c r="J211" i="4"/>
  <c r="K211" i="4" s="1"/>
  <c r="M211" i="4" s="1"/>
  <c r="N211" i="4" s="1"/>
  <c r="L210" i="4"/>
  <c r="J210" i="4"/>
  <c r="K210" i="4" s="1"/>
  <c r="L209" i="4"/>
  <c r="J209" i="4"/>
  <c r="K209" i="4" s="1"/>
  <c r="L208" i="4"/>
  <c r="J208" i="4"/>
  <c r="K208" i="4" s="1"/>
  <c r="L207" i="4"/>
  <c r="J207" i="4"/>
  <c r="K207" i="4" s="1"/>
  <c r="L206" i="4"/>
  <c r="J206" i="4"/>
  <c r="K206" i="4" s="1"/>
  <c r="L205" i="4"/>
  <c r="J205" i="4"/>
  <c r="K205" i="4" s="1"/>
  <c r="L204" i="4"/>
  <c r="J204" i="4"/>
  <c r="K204" i="4" s="1"/>
  <c r="L203" i="4"/>
  <c r="J203" i="4"/>
  <c r="K203" i="4" s="1"/>
  <c r="L202" i="4"/>
  <c r="J202" i="4"/>
  <c r="K202" i="4" s="1"/>
  <c r="L201" i="4"/>
  <c r="J201" i="4"/>
  <c r="K201" i="4" s="1"/>
  <c r="L200" i="4"/>
  <c r="J200" i="4"/>
  <c r="K200" i="4" s="1"/>
  <c r="L199" i="4"/>
  <c r="J199" i="4"/>
  <c r="K199" i="4" s="1"/>
  <c r="L198" i="4"/>
  <c r="J198" i="4"/>
  <c r="K198" i="4" s="1"/>
  <c r="L197" i="4"/>
  <c r="J197" i="4"/>
  <c r="K197" i="4" s="1"/>
  <c r="L196" i="4"/>
  <c r="J196" i="4"/>
  <c r="K196" i="4" s="1"/>
  <c r="L195" i="4"/>
  <c r="J195" i="4"/>
  <c r="K195" i="4" s="1"/>
  <c r="L194" i="4"/>
  <c r="J194" i="4"/>
  <c r="K194" i="4" s="1"/>
  <c r="L193" i="4"/>
  <c r="J193" i="4"/>
  <c r="K193" i="4" s="1"/>
  <c r="M193" i="4" s="1"/>
  <c r="N193" i="4" s="1"/>
  <c r="L192" i="4"/>
  <c r="J192" i="4"/>
  <c r="K192" i="4" s="1"/>
  <c r="L191" i="4"/>
  <c r="J191" i="4"/>
  <c r="K191" i="4" s="1"/>
  <c r="L190" i="4"/>
  <c r="J190" i="4"/>
  <c r="K190" i="4" s="1"/>
  <c r="L189" i="4"/>
  <c r="J189" i="4"/>
  <c r="K189" i="4" s="1"/>
  <c r="M189" i="4" s="1"/>
  <c r="N189" i="4" s="1"/>
  <c r="L188" i="4"/>
  <c r="J188" i="4"/>
  <c r="K188" i="4" s="1"/>
  <c r="M188" i="4" s="1"/>
  <c r="N188" i="4" s="1"/>
  <c r="L187" i="4"/>
  <c r="J187" i="4"/>
  <c r="K187" i="4" s="1"/>
  <c r="L186" i="4"/>
  <c r="J186" i="4"/>
  <c r="K186" i="4" s="1"/>
  <c r="M186" i="4" s="1"/>
  <c r="N186" i="4" s="1"/>
  <c r="L185" i="4"/>
  <c r="J185" i="4"/>
  <c r="K185" i="4" s="1"/>
  <c r="M185" i="4" s="1"/>
  <c r="N185" i="4" s="1"/>
  <c r="L184" i="4"/>
  <c r="J184" i="4"/>
  <c r="K184" i="4" s="1"/>
  <c r="L183" i="4"/>
  <c r="J183" i="4"/>
  <c r="K183" i="4" s="1"/>
  <c r="L182" i="4"/>
  <c r="J182" i="4"/>
  <c r="K182" i="4" s="1"/>
  <c r="L181" i="4"/>
  <c r="J181" i="4"/>
  <c r="K181" i="4" s="1"/>
  <c r="L180" i="4"/>
  <c r="J180" i="4"/>
  <c r="K180" i="4" s="1"/>
  <c r="L179" i="4"/>
  <c r="J179" i="4"/>
  <c r="K179" i="4" s="1"/>
  <c r="L178" i="4"/>
  <c r="J178" i="4"/>
  <c r="K178" i="4" s="1"/>
  <c r="L177" i="4"/>
  <c r="J177" i="4"/>
  <c r="K177" i="4" s="1"/>
  <c r="M177" i="4" s="1"/>
  <c r="N177" i="4" s="1"/>
  <c r="L176" i="4"/>
  <c r="J176" i="4"/>
  <c r="K176" i="4" s="1"/>
  <c r="M176" i="4" s="1"/>
  <c r="N176" i="4" s="1"/>
  <c r="L175" i="4"/>
  <c r="J175" i="4"/>
  <c r="K175" i="4" s="1"/>
  <c r="M175" i="4" s="1"/>
  <c r="N175" i="4" s="1"/>
  <c r="L174" i="4"/>
  <c r="J174" i="4"/>
  <c r="K174" i="4" s="1"/>
  <c r="L173" i="4"/>
  <c r="J173" i="4"/>
  <c r="K173" i="4" s="1"/>
  <c r="M173" i="4" s="1"/>
  <c r="N173" i="4" s="1"/>
  <c r="L172" i="4"/>
  <c r="J172" i="4"/>
  <c r="K172" i="4" s="1"/>
  <c r="L171" i="4"/>
  <c r="J171" i="4"/>
  <c r="K171" i="4" s="1"/>
  <c r="M171" i="4" s="1"/>
  <c r="N171" i="4" s="1"/>
  <c r="L170" i="4"/>
  <c r="J170" i="4"/>
  <c r="K170" i="4" s="1"/>
  <c r="M170" i="4" s="1"/>
  <c r="N170" i="4" s="1"/>
  <c r="L169" i="4"/>
  <c r="J169" i="4"/>
  <c r="K169" i="4" s="1"/>
  <c r="M169" i="4" s="1"/>
  <c r="N169" i="4" s="1"/>
  <c r="L168" i="4"/>
  <c r="J168" i="4"/>
  <c r="K168" i="4" s="1"/>
  <c r="M168" i="4" s="1"/>
  <c r="N168" i="4" s="1"/>
  <c r="L167" i="4"/>
  <c r="J167" i="4"/>
  <c r="K167" i="4" s="1"/>
  <c r="L166" i="4"/>
  <c r="J166" i="4"/>
  <c r="K166" i="4" s="1"/>
  <c r="L165" i="4"/>
  <c r="J165" i="4"/>
  <c r="K165" i="4" s="1"/>
  <c r="M165" i="4" s="1"/>
  <c r="N165" i="4" s="1"/>
  <c r="L164" i="4"/>
  <c r="J164" i="4"/>
  <c r="K164" i="4" s="1"/>
  <c r="L163" i="4"/>
  <c r="J163" i="4"/>
  <c r="K163" i="4" s="1"/>
  <c r="M163" i="4" s="1"/>
  <c r="N163" i="4" s="1"/>
  <c r="L162" i="4"/>
  <c r="J162" i="4"/>
  <c r="K162" i="4" s="1"/>
  <c r="L161" i="4"/>
  <c r="J161" i="4"/>
  <c r="K161" i="4" s="1"/>
  <c r="M161" i="4" s="1"/>
  <c r="N161" i="4" s="1"/>
  <c r="L160" i="4"/>
  <c r="J160" i="4"/>
  <c r="K160" i="4" s="1"/>
  <c r="M160" i="4" s="1"/>
  <c r="N160" i="4" s="1"/>
  <c r="L159" i="4"/>
  <c r="J159" i="4"/>
  <c r="K159" i="4" s="1"/>
  <c r="M159" i="4" s="1"/>
  <c r="N159" i="4" s="1"/>
  <c r="L158" i="4"/>
  <c r="J158" i="4"/>
  <c r="K158" i="4" s="1"/>
  <c r="L157" i="4"/>
  <c r="J157" i="4"/>
  <c r="K157" i="4" s="1"/>
  <c r="M157" i="4" s="1"/>
  <c r="N157" i="4" s="1"/>
  <c r="L156" i="4"/>
  <c r="J156" i="4"/>
  <c r="K156" i="4" s="1"/>
  <c r="M156" i="4" s="1"/>
  <c r="N156" i="4" s="1"/>
  <c r="L155" i="4"/>
  <c r="J155" i="4"/>
  <c r="K155" i="4" s="1"/>
  <c r="M155" i="4" s="1"/>
  <c r="N155" i="4" s="1"/>
  <c r="L154" i="4"/>
  <c r="J154" i="4"/>
  <c r="K154" i="4" s="1"/>
  <c r="M154" i="4" s="1"/>
  <c r="N154" i="4" s="1"/>
  <c r="L153" i="4"/>
  <c r="J153" i="4"/>
  <c r="K153" i="4" s="1"/>
  <c r="M153" i="4" s="1"/>
  <c r="N153" i="4" s="1"/>
  <c r="L152" i="4"/>
  <c r="J152" i="4"/>
  <c r="K152" i="4" s="1"/>
  <c r="M152" i="4" s="1"/>
  <c r="N152" i="4" s="1"/>
  <c r="L151" i="4"/>
  <c r="J151" i="4"/>
  <c r="K151" i="4" s="1"/>
  <c r="M151" i="4" s="1"/>
  <c r="N151" i="4" s="1"/>
  <c r="L150" i="4"/>
  <c r="J150" i="4"/>
  <c r="K150" i="4" s="1"/>
  <c r="M150" i="4" s="1"/>
  <c r="N150" i="4" s="1"/>
  <c r="L149" i="4"/>
  <c r="J149" i="4"/>
  <c r="K149" i="4" s="1"/>
  <c r="L148" i="4"/>
  <c r="J148" i="4"/>
  <c r="K148" i="4" s="1"/>
  <c r="M148" i="4" s="1"/>
  <c r="N148" i="4" s="1"/>
  <c r="L147" i="4"/>
  <c r="J147" i="4"/>
  <c r="K147" i="4" s="1"/>
  <c r="L146" i="4"/>
  <c r="J146" i="4"/>
  <c r="K146" i="4" s="1"/>
  <c r="L145" i="4"/>
  <c r="J145" i="4"/>
  <c r="K145" i="4" s="1"/>
  <c r="M145" i="4" s="1"/>
  <c r="N145" i="4" s="1"/>
  <c r="L144" i="4"/>
  <c r="J144" i="4"/>
  <c r="K144" i="4" s="1"/>
  <c r="L143" i="4"/>
  <c r="J143" i="4"/>
  <c r="K143" i="4" s="1"/>
  <c r="M143" i="4" s="1"/>
  <c r="N143" i="4" s="1"/>
  <c r="L142" i="4"/>
  <c r="J142" i="4"/>
  <c r="K142" i="4" s="1"/>
  <c r="L141" i="4"/>
  <c r="J141" i="4"/>
  <c r="K141" i="4" s="1"/>
  <c r="L140" i="4"/>
  <c r="J140" i="4"/>
  <c r="K140" i="4" s="1"/>
  <c r="M140" i="4" s="1"/>
  <c r="N140" i="4" s="1"/>
  <c r="L139" i="4"/>
  <c r="J139" i="4"/>
  <c r="K139" i="4" s="1"/>
  <c r="M139" i="4" s="1"/>
  <c r="N139" i="4" s="1"/>
  <c r="L138" i="4"/>
  <c r="J138" i="4"/>
  <c r="K138" i="4" s="1"/>
  <c r="L137" i="4"/>
  <c r="J137" i="4"/>
  <c r="K137" i="4" s="1"/>
  <c r="L136" i="4"/>
  <c r="J136" i="4"/>
  <c r="K136" i="4" s="1"/>
  <c r="L135" i="4"/>
  <c r="J135" i="4"/>
  <c r="K135" i="4" s="1"/>
  <c r="L134" i="4"/>
  <c r="J134" i="4"/>
  <c r="K134" i="4" s="1"/>
  <c r="M134" i="4" s="1"/>
  <c r="N134" i="4" s="1"/>
  <c r="L133" i="4"/>
  <c r="J133" i="4"/>
  <c r="K133" i="4" s="1"/>
  <c r="L132" i="4"/>
  <c r="J132" i="4"/>
  <c r="K132" i="4" s="1"/>
  <c r="M132" i="4" s="1"/>
  <c r="N132" i="4" s="1"/>
  <c r="L131" i="4"/>
  <c r="J131" i="4"/>
  <c r="K131" i="4" s="1"/>
  <c r="M131" i="4" s="1"/>
  <c r="N131" i="4" s="1"/>
  <c r="L130" i="4"/>
  <c r="J130" i="4"/>
  <c r="K130" i="4" s="1"/>
  <c r="M130" i="4" s="1"/>
  <c r="N130" i="4" s="1"/>
  <c r="L129" i="4"/>
  <c r="J129" i="4"/>
  <c r="K129" i="4" s="1"/>
  <c r="L128" i="4"/>
  <c r="J128" i="4"/>
  <c r="K128" i="4" s="1"/>
  <c r="M128" i="4" s="1"/>
  <c r="N128" i="4" s="1"/>
  <c r="L127" i="4"/>
  <c r="J127" i="4"/>
  <c r="K127" i="4" s="1"/>
  <c r="M127" i="4" s="1"/>
  <c r="N127" i="4" s="1"/>
  <c r="L126" i="4"/>
  <c r="J126" i="4"/>
  <c r="K126" i="4" s="1"/>
  <c r="M126" i="4" s="1"/>
  <c r="N126" i="4" s="1"/>
  <c r="L125" i="4"/>
  <c r="J125" i="4"/>
  <c r="K125" i="4" s="1"/>
  <c r="M125" i="4" s="1"/>
  <c r="N125" i="4" s="1"/>
  <c r="L124" i="4"/>
  <c r="J124" i="4"/>
  <c r="K124" i="4" s="1"/>
  <c r="M124" i="4" s="1"/>
  <c r="N124" i="4" s="1"/>
  <c r="L123" i="4"/>
  <c r="J123" i="4"/>
  <c r="K123" i="4" s="1"/>
  <c r="M123" i="4" s="1"/>
  <c r="N123" i="4" s="1"/>
  <c r="L122" i="4"/>
  <c r="J122" i="4"/>
  <c r="K122" i="4" s="1"/>
  <c r="L121" i="4"/>
  <c r="J121" i="4"/>
  <c r="K121" i="4" s="1"/>
  <c r="M121" i="4" s="1"/>
  <c r="N121" i="4" s="1"/>
  <c r="L120" i="4"/>
  <c r="J120" i="4"/>
  <c r="K120" i="4" s="1"/>
  <c r="M120" i="4" s="1"/>
  <c r="N120" i="4" s="1"/>
  <c r="L119" i="4"/>
  <c r="J119" i="4"/>
  <c r="K119" i="4" s="1"/>
  <c r="M119" i="4" s="1"/>
  <c r="N119" i="4" s="1"/>
  <c r="L118" i="4"/>
  <c r="J118" i="4"/>
  <c r="K118" i="4" s="1"/>
  <c r="M118" i="4" s="1"/>
  <c r="N118" i="4" s="1"/>
  <c r="L117" i="4"/>
  <c r="J117" i="4"/>
  <c r="K117" i="4" s="1"/>
  <c r="M117" i="4" s="1"/>
  <c r="N117" i="4" s="1"/>
  <c r="L116" i="4"/>
  <c r="J116" i="4"/>
  <c r="K116" i="4" s="1"/>
  <c r="M116" i="4" s="1"/>
  <c r="N116" i="4" s="1"/>
  <c r="L115" i="4"/>
  <c r="J115" i="4"/>
  <c r="K115" i="4" s="1"/>
  <c r="M115" i="4" s="1"/>
  <c r="N115" i="4" s="1"/>
  <c r="L114" i="4"/>
  <c r="J114" i="4"/>
  <c r="K114" i="4" s="1"/>
  <c r="M114" i="4" s="1"/>
  <c r="N114" i="4" s="1"/>
  <c r="L113" i="4"/>
  <c r="J113" i="4"/>
  <c r="K113" i="4" s="1"/>
  <c r="M113" i="4" s="1"/>
  <c r="N113" i="4" s="1"/>
  <c r="L112" i="4"/>
  <c r="J112" i="4"/>
  <c r="K112" i="4" s="1"/>
  <c r="M112" i="4" s="1"/>
  <c r="N112" i="4" s="1"/>
  <c r="L111" i="4"/>
  <c r="J111" i="4"/>
  <c r="K111" i="4" s="1"/>
  <c r="M111" i="4" s="1"/>
  <c r="N111" i="4" s="1"/>
  <c r="L110" i="4"/>
  <c r="J110" i="4"/>
  <c r="K110" i="4" s="1"/>
  <c r="M110" i="4" s="1"/>
  <c r="N110" i="4" s="1"/>
  <c r="L109" i="4"/>
  <c r="J109" i="4"/>
  <c r="K109" i="4" s="1"/>
  <c r="L108" i="4"/>
  <c r="J108" i="4"/>
  <c r="K108" i="4" s="1"/>
  <c r="M108" i="4" s="1"/>
  <c r="N108" i="4" s="1"/>
  <c r="L107" i="4"/>
  <c r="J107" i="4"/>
  <c r="K107" i="4" s="1"/>
  <c r="M107" i="4" s="1"/>
  <c r="N107" i="4" s="1"/>
  <c r="L106" i="4"/>
  <c r="J106" i="4"/>
  <c r="K106" i="4" s="1"/>
  <c r="M106" i="4" s="1"/>
  <c r="N106" i="4" s="1"/>
  <c r="L105" i="4"/>
  <c r="J105" i="4"/>
  <c r="K105" i="4" s="1"/>
  <c r="M105" i="4" s="1"/>
  <c r="N105" i="4" s="1"/>
  <c r="L104" i="4"/>
  <c r="J104" i="4"/>
  <c r="K104" i="4" s="1"/>
  <c r="M104" i="4" s="1"/>
  <c r="N104" i="4" s="1"/>
  <c r="L103" i="4"/>
  <c r="J103" i="4"/>
  <c r="K103" i="4" s="1"/>
  <c r="M103" i="4" s="1"/>
  <c r="N103" i="4" s="1"/>
  <c r="L102" i="4"/>
  <c r="J102" i="4"/>
  <c r="K102" i="4" s="1"/>
  <c r="M102" i="4" s="1"/>
  <c r="N102" i="4" s="1"/>
  <c r="L101" i="4"/>
  <c r="J101" i="4"/>
  <c r="K101" i="4" s="1"/>
  <c r="L100" i="4"/>
  <c r="J100" i="4"/>
  <c r="K100" i="4" s="1"/>
  <c r="L99" i="4"/>
  <c r="J99" i="4"/>
  <c r="K99" i="4" s="1"/>
  <c r="M99" i="4" s="1"/>
  <c r="N99" i="4" s="1"/>
  <c r="L98" i="4"/>
  <c r="J98" i="4"/>
  <c r="K98" i="4" s="1"/>
  <c r="L97" i="4"/>
  <c r="J97" i="4"/>
  <c r="K97" i="4" s="1"/>
  <c r="M97" i="4" s="1"/>
  <c r="N97" i="4" s="1"/>
  <c r="L96" i="4"/>
  <c r="J96" i="4"/>
  <c r="K96" i="4" s="1"/>
  <c r="M96" i="4" s="1"/>
  <c r="N96" i="4" s="1"/>
  <c r="L95" i="4"/>
  <c r="J95" i="4"/>
  <c r="K95" i="4" s="1"/>
  <c r="M95" i="4" s="1"/>
  <c r="N95" i="4" s="1"/>
  <c r="L94" i="4"/>
  <c r="J94" i="4"/>
  <c r="K94" i="4" s="1"/>
  <c r="M94" i="4" s="1"/>
  <c r="N94" i="4" s="1"/>
  <c r="L93" i="4"/>
  <c r="J93" i="4"/>
  <c r="K93" i="4" s="1"/>
  <c r="M93" i="4" s="1"/>
  <c r="N93" i="4" s="1"/>
  <c r="L92" i="4"/>
  <c r="J92" i="4"/>
  <c r="K92" i="4" s="1"/>
  <c r="L91" i="4"/>
  <c r="J91" i="4"/>
  <c r="K91" i="4" s="1"/>
  <c r="M91" i="4" s="1"/>
  <c r="N91" i="4" s="1"/>
  <c r="L90" i="4"/>
  <c r="J90" i="4"/>
  <c r="K90" i="4" s="1"/>
  <c r="L89" i="4"/>
  <c r="J89" i="4"/>
  <c r="K89" i="4" s="1"/>
  <c r="L88" i="4"/>
  <c r="J88" i="4"/>
  <c r="K88" i="4" s="1"/>
  <c r="L87" i="4"/>
  <c r="J87" i="4"/>
  <c r="K87" i="4" s="1"/>
  <c r="M87" i="4" s="1"/>
  <c r="N87" i="4" s="1"/>
  <c r="L86" i="4"/>
  <c r="J86" i="4"/>
  <c r="K86" i="4" s="1"/>
  <c r="M86" i="4" s="1"/>
  <c r="N86" i="4" s="1"/>
  <c r="L85" i="4"/>
  <c r="J85" i="4"/>
  <c r="K85" i="4" s="1"/>
  <c r="L84" i="4"/>
  <c r="J84" i="4"/>
  <c r="K84" i="4" s="1"/>
  <c r="L83" i="4"/>
  <c r="J83" i="4"/>
  <c r="K83" i="4" s="1"/>
  <c r="M83" i="4" s="1"/>
  <c r="N83" i="4" s="1"/>
  <c r="L82" i="4"/>
  <c r="J82" i="4"/>
  <c r="K82" i="4" s="1"/>
  <c r="M82" i="4" s="1"/>
  <c r="N82" i="4" s="1"/>
  <c r="L81" i="4"/>
  <c r="J81" i="4"/>
  <c r="K81" i="4" s="1"/>
  <c r="M81" i="4" s="1"/>
  <c r="N81" i="4" s="1"/>
  <c r="L80" i="4"/>
  <c r="J80" i="4"/>
  <c r="K80" i="4" s="1"/>
  <c r="M80" i="4" s="1"/>
  <c r="N80" i="4" s="1"/>
  <c r="L79" i="4"/>
  <c r="J79" i="4"/>
  <c r="K79" i="4" s="1"/>
  <c r="M79" i="4" s="1"/>
  <c r="N79" i="4" s="1"/>
  <c r="L78" i="4"/>
  <c r="J78" i="4"/>
  <c r="K78" i="4" s="1"/>
  <c r="L77" i="4"/>
  <c r="J77" i="4"/>
  <c r="K77" i="4" s="1"/>
  <c r="M77" i="4" s="1"/>
  <c r="N77" i="4" s="1"/>
  <c r="L76" i="4"/>
  <c r="J76" i="4"/>
  <c r="K76" i="4" s="1"/>
  <c r="L75" i="4"/>
  <c r="J75" i="4"/>
  <c r="K75" i="4" s="1"/>
  <c r="L74" i="4"/>
  <c r="J74" i="4"/>
  <c r="K74" i="4" s="1"/>
  <c r="M74" i="4" s="1"/>
  <c r="N74" i="4" s="1"/>
  <c r="L73" i="4"/>
  <c r="J73" i="4"/>
  <c r="K73" i="4" s="1"/>
  <c r="M73" i="4" s="1"/>
  <c r="N73" i="4" s="1"/>
  <c r="L72" i="4"/>
  <c r="J72" i="4"/>
  <c r="K72" i="4" s="1"/>
  <c r="M72" i="4" s="1"/>
  <c r="N72" i="4" s="1"/>
  <c r="L71" i="4"/>
  <c r="J71" i="4"/>
  <c r="K71" i="4" s="1"/>
  <c r="M71" i="4" s="1"/>
  <c r="N71" i="4" s="1"/>
  <c r="L70" i="4"/>
  <c r="J70" i="4"/>
  <c r="K70" i="4" s="1"/>
  <c r="L69" i="4"/>
  <c r="J69" i="4"/>
  <c r="K69" i="4" s="1"/>
  <c r="L68" i="4"/>
  <c r="J68" i="4"/>
  <c r="K68" i="4" s="1"/>
  <c r="L67" i="4"/>
  <c r="J67" i="4"/>
  <c r="K67" i="4" s="1"/>
  <c r="M67" i="4" s="1"/>
  <c r="N67" i="4" s="1"/>
  <c r="L66" i="4"/>
  <c r="J66" i="4"/>
  <c r="K66" i="4" s="1"/>
  <c r="M66" i="4" s="1"/>
  <c r="N66" i="4" s="1"/>
  <c r="L65" i="4"/>
  <c r="J65" i="4"/>
  <c r="K65" i="4" s="1"/>
  <c r="M65" i="4" s="1"/>
  <c r="N65" i="4" s="1"/>
  <c r="L64" i="4"/>
  <c r="J64" i="4"/>
  <c r="K64" i="4" s="1"/>
  <c r="M64" i="4" s="1"/>
  <c r="N64" i="4" s="1"/>
  <c r="L63" i="4"/>
  <c r="J63" i="4"/>
  <c r="K63" i="4" s="1"/>
  <c r="M63" i="4" s="1"/>
  <c r="N63" i="4" s="1"/>
  <c r="L62" i="4"/>
  <c r="J62" i="4"/>
  <c r="K62" i="4" s="1"/>
  <c r="M62" i="4" s="1"/>
  <c r="N62" i="4" s="1"/>
  <c r="L61" i="4"/>
  <c r="J61" i="4"/>
  <c r="K61" i="4" s="1"/>
  <c r="M61" i="4" s="1"/>
  <c r="N61" i="4" s="1"/>
  <c r="L60" i="4"/>
  <c r="J60" i="4"/>
  <c r="K60" i="4" s="1"/>
  <c r="L59" i="4"/>
  <c r="J59" i="4"/>
  <c r="K59" i="4" s="1"/>
  <c r="M59" i="4" s="1"/>
  <c r="N59" i="4" s="1"/>
  <c r="L58" i="4"/>
  <c r="J58" i="4"/>
  <c r="K58" i="4" s="1"/>
  <c r="M58" i="4" s="1"/>
  <c r="N58" i="4" s="1"/>
  <c r="L57" i="4"/>
  <c r="J57" i="4"/>
  <c r="K57" i="4" s="1"/>
  <c r="M57" i="4" s="1"/>
  <c r="N57" i="4" s="1"/>
  <c r="L56" i="4"/>
  <c r="J56" i="4"/>
  <c r="K56" i="4" s="1"/>
  <c r="M56" i="4" s="1"/>
  <c r="N56" i="4" s="1"/>
  <c r="L55" i="4"/>
  <c r="J55" i="4"/>
  <c r="K55" i="4" s="1"/>
  <c r="M55" i="4" s="1"/>
  <c r="N55" i="4" s="1"/>
  <c r="L54" i="4"/>
  <c r="J54" i="4"/>
  <c r="K54" i="4" s="1"/>
  <c r="M54" i="4" s="1"/>
  <c r="N54" i="4" s="1"/>
  <c r="L53" i="4"/>
  <c r="B53" i="4"/>
  <c r="A53" i="4"/>
  <c r="J53" i="4" s="1"/>
  <c r="K53" i="4" s="1"/>
  <c r="M53" i="4" s="1"/>
  <c r="N53" i="4" s="1"/>
  <c r="L52" i="4"/>
  <c r="B52" i="4"/>
  <c r="A52" i="4"/>
  <c r="J52" i="4" s="1"/>
  <c r="K52" i="4" s="1"/>
  <c r="M52" i="4" s="1"/>
  <c r="N52" i="4" s="1"/>
  <c r="L51" i="4"/>
  <c r="B51" i="4"/>
  <c r="A51" i="4"/>
  <c r="J51" i="4" s="1"/>
  <c r="K51" i="4" s="1"/>
  <c r="M51" i="4" s="1"/>
  <c r="N51" i="4" s="1"/>
  <c r="L50" i="4"/>
  <c r="B50" i="4"/>
  <c r="A50" i="4"/>
  <c r="J50" i="4" s="1"/>
  <c r="K50" i="4" s="1"/>
  <c r="M50" i="4" s="1"/>
  <c r="N50" i="4" s="1"/>
  <c r="L49" i="4"/>
  <c r="B49" i="4"/>
  <c r="A49" i="4"/>
  <c r="J49" i="4" s="1"/>
  <c r="K49" i="4" s="1"/>
  <c r="M49" i="4" s="1"/>
  <c r="N49" i="4" s="1"/>
  <c r="L48" i="4"/>
  <c r="B48" i="4"/>
  <c r="A48" i="4"/>
  <c r="J48" i="4" s="1"/>
  <c r="K48" i="4" s="1"/>
  <c r="M48" i="4" s="1"/>
  <c r="N48" i="4" s="1"/>
  <c r="L47" i="4"/>
  <c r="B47" i="4"/>
  <c r="A47" i="4"/>
  <c r="J47" i="4" s="1"/>
  <c r="K47" i="4" s="1"/>
  <c r="M47" i="4" s="1"/>
  <c r="N47" i="4" s="1"/>
  <c r="L46" i="4"/>
  <c r="B46" i="4"/>
  <c r="A46" i="4"/>
  <c r="J46" i="4" s="1"/>
  <c r="K46" i="4" s="1"/>
  <c r="M46" i="4" s="1"/>
  <c r="N46" i="4" s="1"/>
  <c r="L45" i="4"/>
  <c r="B45" i="4"/>
  <c r="A45" i="4"/>
  <c r="L44" i="4"/>
  <c r="B44" i="4"/>
  <c r="A44" i="4"/>
  <c r="J44" i="4" s="1"/>
  <c r="K44" i="4" s="1"/>
  <c r="M44" i="4" s="1"/>
  <c r="N44" i="4" s="1"/>
  <c r="L43" i="4"/>
  <c r="B43" i="4"/>
  <c r="A43" i="4"/>
  <c r="L42" i="4"/>
  <c r="B42" i="4"/>
  <c r="A42" i="4"/>
  <c r="L41" i="4"/>
  <c r="B41" i="4"/>
  <c r="A41" i="4"/>
  <c r="L40" i="4"/>
  <c r="B40" i="4"/>
  <c r="A40" i="4"/>
  <c r="L39" i="4"/>
  <c r="B39" i="4"/>
  <c r="A39" i="4"/>
  <c r="L38" i="4"/>
  <c r="B38" i="4"/>
  <c r="A38" i="4"/>
  <c r="L37" i="4"/>
  <c r="B37" i="4"/>
  <c r="A37" i="4"/>
  <c r="J37" i="4" s="1"/>
  <c r="K37" i="4" s="1"/>
  <c r="M37" i="4" s="1"/>
  <c r="N37" i="4" s="1"/>
  <c r="L36" i="4"/>
  <c r="B36" i="4"/>
  <c r="A36" i="4"/>
  <c r="J36" i="4" s="1"/>
  <c r="K36" i="4" s="1"/>
  <c r="M36" i="4" s="1"/>
  <c r="N36" i="4" s="1"/>
  <c r="L35" i="4"/>
  <c r="B35" i="4"/>
  <c r="A35" i="4"/>
  <c r="J35" i="4" s="1"/>
  <c r="K35" i="4" s="1"/>
  <c r="M35" i="4" s="1"/>
  <c r="N35" i="4" s="1"/>
  <c r="L34" i="4"/>
  <c r="B34" i="4"/>
  <c r="A34" i="4"/>
  <c r="L33" i="4"/>
  <c r="B33" i="4"/>
  <c r="A33" i="4"/>
  <c r="J33" i="4" s="1"/>
  <c r="K33" i="4" s="1"/>
  <c r="M33" i="4" s="1"/>
  <c r="N33" i="4" s="1"/>
  <c r="L32" i="4"/>
  <c r="B32" i="4"/>
  <c r="A32" i="4"/>
  <c r="J32" i="4" s="1"/>
  <c r="K32" i="4" s="1"/>
  <c r="M32" i="4" s="1"/>
  <c r="N32" i="4" s="1"/>
  <c r="L31" i="4"/>
  <c r="B31" i="4"/>
  <c r="A31" i="4"/>
  <c r="J31" i="4" s="1"/>
  <c r="K31" i="4" s="1"/>
  <c r="M31" i="4" s="1"/>
  <c r="N31" i="4" s="1"/>
  <c r="L30" i="4"/>
  <c r="B30" i="4"/>
  <c r="A30" i="4"/>
  <c r="L29" i="4"/>
  <c r="B29" i="4"/>
  <c r="A29" i="4"/>
  <c r="L28" i="4"/>
  <c r="B28" i="4"/>
  <c r="A28" i="4"/>
  <c r="L27" i="4"/>
  <c r="B27" i="4"/>
  <c r="A27" i="4"/>
  <c r="L26" i="4"/>
  <c r="B26" i="4"/>
  <c r="A26" i="4"/>
  <c r="L25" i="4"/>
  <c r="B25" i="4"/>
  <c r="A25" i="4"/>
  <c r="L24" i="4"/>
  <c r="B24" i="4"/>
  <c r="A24" i="4"/>
  <c r="L23" i="4"/>
  <c r="B23" i="4"/>
  <c r="A23" i="4"/>
  <c r="L22" i="4"/>
  <c r="B22" i="4"/>
  <c r="A22" i="4"/>
  <c r="L21" i="4"/>
  <c r="B21" i="4"/>
  <c r="A21" i="4"/>
  <c r="L20" i="4"/>
  <c r="B20" i="4"/>
  <c r="A20" i="4"/>
  <c r="J20" i="4" s="1"/>
  <c r="K20" i="4" s="1"/>
  <c r="M20" i="4" s="1"/>
  <c r="N20" i="4" s="1"/>
  <c r="L19" i="4"/>
  <c r="B19" i="4"/>
  <c r="A19" i="4"/>
  <c r="J19" i="4" s="1"/>
  <c r="K19" i="4" s="1"/>
  <c r="M19" i="4" s="1"/>
  <c r="N19" i="4" s="1"/>
  <c r="L18" i="4"/>
  <c r="B18" i="4"/>
  <c r="A18" i="4"/>
  <c r="L17" i="4"/>
  <c r="B17" i="4"/>
  <c r="A17" i="4"/>
  <c r="J17" i="4" s="1"/>
  <c r="K17" i="4" s="1"/>
  <c r="M17" i="4" s="1"/>
  <c r="N17" i="4" s="1"/>
  <c r="L16" i="4"/>
  <c r="B16" i="4"/>
  <c r="A16" i="4"/>
  <c r="J16" i="4" s="1"/>
  <c r="K16" i="4" s="1"/>
  <c r="L15" i="4"/>
  <c r="B15" i="4"/>
  <c r="A15" i="4"/>
  <c r="J15" i="4" s="1"/>
  <c r="K15" i="4" s="1"/>
  <c r="M15" i="4" s="1"/>
  <c r="N15" i="4" s="1"/>
  <c r="L14" i="4"/>
  <c r="B14" i="4"/>
  <c r="A14" i="4"/>
  <c r="L13" i="4"/>
  <c r="B13" i="4"/>
  <c r="A13" i="4"/>
  <c r="J13" i="4" s="1"/>
  <c r="K13" i="4" s="1"/>
  <c r="M13" i="4" s="1"/>
  <c r="N13" i="4" s="1"/>
  <c r="L12" i="4"/>
  <c r="B12" i="4"/>
  <c r="A12" i="4"/>
  <c r="L11" i="4"/>
  <c r="B11" i="4"/>
  <c r="A11" i="4"/>
  <c r="J11" i="4" s="1"/>
  <c r="K11" i="4" s="1"/>
  <c r="M11" i="4" s="1"/>
  <c r="N11" i="4" s="1"/>
  <c r="L10" i="4"/>
  <c r="B10" i="4"/>
  <c r="A10" i="4"/>
  <c r="J10" i="4" s="1"/>
  <c r="K10" i="4" s="1"/>
  <c r="M10" i="4" s="1"/>
  <c r="N10" i="4" s="1"/>
  <c r="L9" i="4"/>
  <c r="B9" i="4"/>
  <c r="A9" i="4"/>
  <c r="L8" i="4"/>
  <c r="B8" i="4"/>
  <c r="A8" i="4"/>
  <c r="J8" i="4" s="1"/>
  <c r="K8" i="4" s="1"/>
  <c r="M8" i="4" s="1"/>
  <c r="N8" i="4" s="1"/>
  <c r="L6" i="4"/>
  <c r="A6" i="4"/>
  <c r="L5" i="4"/>
  <c r="B5" i="4"/>
  <c r="A5" i="4"/>
  <c r="L4" i="4"/>
  <c r="B4" i="4"/>
  <c r="A4" i="4"/>
  <c r="J4" i="4" s="1"/>
  <c r="K4" i="4" s="1"/>
  <c r="M4" i="4" s="1"/>
  <c r="N4" i="4" s="1"/>
  <c r="L3" i="4"/>
  <c r="B3" i="4"/>
  <c r="A3" i="4"/>
  <c r="L2" i="4"/>
  <c r="B2" i="4"/>
  <c r="A2" i="4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B33" i="3"/>
  <c r="A33" i="3"/>
  <c r="H32" i="3"/>
  <c r="I32" i="3" s="1"/>
  <c r="B32" i="3"/>
  <c r="A32" i="3"/>
  <c r="H31" i="3"/>
  <c r="I31" i="3" s="1"/>
  <c r="B31" i="3"/>
  <c r="A31" i="3"/>
  <c r="H30" i="3"/>
  <c r="I30" i="3" s="1"/>
  <c r="B30" i="3"/>
  <c r="A30" i="3"/>
  <c r="H29" i="3"/>
  <c r="I29" i="3" s="1"/>
  <c r="B29" i="3"/>
  <c r="A29" i="3"/>
  <c r="H28" i="3"/>
  <c r="I28" i="3" s="1"/>
  <c r="B28" i="3"/>
  <c r="A28" i="3"/>
  <c r="H27" i="3"/>
  <c r="I27" i="3" s="1"/>
  <c r="B27" i="3"/>
  <c r="A27" i="3"/>
  <c r="H26" i="3"/>
  <c r="I26" i="3" s="1"/>
  <c r="B26" i="3"/>
  <c r="A26" i="3"/>
  <c r="H25" i="3"/>
  <c r="I25" i="3" s="1"/>
  <c r="B25" i="3"/>
  <c r="A25" i="3"/>
  <c r="H24" i="3"/>
  <c r="I24" i="3" s="1"/>
  <c r="B24" i="3"/>
  <c r="A24" i="3"/>
  <c r="H23" i="3"/>
  <c r="I23" i="3" s="1"/>
  <c r="B23" i="3"/>
  <c r="A23" i="3"/>
  <c r="H22" i="3"/>
  <c r="I22" i="3" s="1"/>
  <c r="B22" i="3"/>
  <c r="A22" i="3"/>
  <c r="H21" i="3"/>
  <c r="I21" i="3" s="1"/>
  <c r="B21" i="3"/>
  <c r="A21" i="3"/>
  <c r="H20" i="3"/>
  <c r="I20" i="3" s="1"/>
  <c r="B20" i="3"/>
  <c r="A20" i="3"/>
  <c r="H19" i="3"/>
  <c r="I19" i="3" s="1"/>
  <c r="B19" i="3"/>
  <c r="A19" i="3"/>
  <c r="H18" i="3"/>
  <c r="I18" i="3" s="1"/>
  <c r="B18" i="3"/>
  <c r="A18" i="3"/>
  <c r="H17" i="3"/>
  <c r="I17" i="3" s="1"/>
  <c r="B17" i="3"/>
  <c r="A17" i="3"/>
  <c r="H16" i="3"/>
  <c r="I16" i="3" s="1"/>
  <c r="B16" i="3"/>
  <c r="A16" i="3"/>
  <c r="H15" i="3"/>
  <c r="I15" i="3" s="1"/>
  <c r="B15" i="3"/>
  <c r="A15" i="3"/>
  <c r="H14" i="3"/>
  <c r="I14" i="3" s="1"/>
  <c r="B14" i="3"/>
  <c r="A14" i="3"/>
  <c r="O10" i="3"/>
  <c r="N10" i="3"/>
  <c r="H10" i="3"/>
  <c r="F32" i="1" s="1"/>
  <c r="G10" i="3"/>
  <c r="C10" i="3"/>
  <c r="C32" i="1" s="1"/>
  <c r="O9" i="3"/>
  <c r="N9" i="3"/>
  <c r="H9" i="3"/>
  <c r="F31" i="1" s="1"/>
  <c r="G9" i="3"/>
  <c r="C9" i="3"/>
  <c r="C31" i="1" s="1"/>
  <c r="O8" i="3"/>
  <c r="N8" i="3"/>
  <c r="H8" i="3"/>
  <c r="F30" i="1" s="1"/>
  <c r="G8" i="3"/>
  <c r="C8" i="3"/>
  <c r="C30" i="1" s="1"/>
  <c r="O7" i="3"/>
  <c r="N7" i="3"/>
  <c r="H7" i="3"/>
  <c r="F29" i="1" s="1"/>
  <c r="G7" i="3"/>
  <c r="C7" i="3"/>
  <c r="C29" i="1" s="1"/>
  <c r="O6" i="3"/>
  <c r="N6" i="3"/>
  <c r="H6" i="3"/>
  <c r="F28" i="1" s="1"/>
  <c r="G6" i="3"/>
  <c r="C6" i="3"/>
  <c r="C28" i="1" s="1"/>
  <c r="J32" i="1"/>
  <c r="I32" i="1"/>
  <c r="A32" i="1"/>
  <c r="J31" i="1"/>
  <c r="I31" i="1"/>
  <c r="A31" i="1"/>
  <c r="J30" i="1"/>
  <c r="I30" i="1"/>
  <c r="A30" i="1"/>
  <c r="J29" i="1"/>
  <c r="I29" i="1"/>
  <c r="A29" i="1"/>
  <c r="J28" i="1"/>
  <c r="I28" i="1"/>
  <c r="A28" i="1"/>
  <c r="M24" i="1"/>
  <c r="M23" i="1"/>
  <c r="M22" i="1"/>
  <c r="M21" i="1"/>
  <c r="M20" i="1"/>
  <c r="H16" i="1"/>
  <c r="G16" i="1"/>
  <c r="F16" i="1"/>
  <c r="E16" i="1"/>
  <c r="R6" i="1"/>
  <c r="O6" i="1"/>
  <c r="O2" i="1"/>
  <c r="M430" i="4" l="1"/>
  <c r="N430" i="4" s="1"/>
  <c r="M414" i="4"/>
  <c r="N414" i="4" s="1"/>
  <c r="M376" i="4"/>
  <c r="N376" i="4" s="1"/>
  <c r="M239" i="4"/>
  <c r="N239" i="4" s="1"/>
  <c r="M223" i="4"/>
  <c r="N223" i="4" s="1"/>
  <c r="M496" i="4"/>
  <c r="N496" i="4" s="1"/>
  <c r="M457" i="4"/>
  <c r="N457" i="4" s="1"/>
  <c r="M456" i="4"/>
  <c r="N456" i="4" s="1"/>
  <c r="M427" i="4"/>
  <c r="N427" i="4" s="1"/>
  <c r="M421" i="4"/>
  <c r="N421" i="4" s="1"/>
  <c r="M412" i="4"/>
  <c r="N412" i="4" s="1"/>
  <c r="M406" i="4"/>
  <c r="N406" i="4" s="1"/>
  <c r="M404" i="4"/>
  <c r="N404" i="4" s="1"/>
  <c r="M379" i="4"/>
  <c r="N379" i="4" s="1"/>
  <c r="M378" i="4"/>
  <c r="N378" i="4" s="1"/>
  <c r="M306" i="4"/>
  <c r="N306" i="4" s="1"/>
  <c r="M261" i="4"/>
  <c r="N261" i="4" s="1"/>
  <c r="M190" i="4"/>
  <c r="N190" i="4" s="1"/>
  <c r="M180" i="4"/>
  <c r="N180" i="4" s="1"/>
  <c r="M174" i="4"/>
  <c r="N174" i="4" s="1"/>
  <c r="M158" i="4"/>
  <c r="N158" i="4" s="1"/>
  <c r="M493" i="4"/>
  <c r="N493" i="4" s="1"/>
  <c r="M468" i="4"/>
  <c r="N468" i="4" s="1"/>
  <c r="M432" i="4"/>
  <c r="N432" i="4" s="1"/>
  <c r="M423" i="4"/>
  <c r="N423" i="4" s="1"/>
  <c r="M419" i="4"/>
  <c r="N419" i="4" s="1"/>
  <c r="M358" i="4"/>
  <c r="N358" i="4" s="1"/>
  <c r="M357" i="4"/>
  <c r="N357" i="4" s="1"/>
  <c r="M144" i="4"/>
  <c r="N144" i="4" s="1"/>
  <c r="M141" i="4"/>
  <c r="N141" i="4" s="1"/>
  <c r="M454" i="4"/>
  <c r="N454" i="4" s="1"/>
  <c r="M429" i="4"/>
  <c r="N429" i="4" s="1"/>
  <c r="M428" i="4"/>
  <c r="N428" i="4" s="1"/>
  <c r="M425" i="4"/>
  <c r="N425" i="4" s="1"/>
  <c r="M424" i="4"/>
  <c r="N424" i="4" s="1"/>
  <c r="M422" i="4"/>
  <c r="N422" i="4" s="1"/>
  <c r="M409" i="4"/>
  <c r="N409" i="4" s="1"/>
  <c r="M408" i="4"/>
  <c r="N408" i="4" s="1"/>
  <c r="M407" i="4"/>
  <c r="N407" i="4" s="1"/>
  <c r="M369" i="4"/>
  <c r="N369" i="4" s="1"/>
  <c r="M366" i="4"/>
  <c r="N366" i="4" s="1"/>
  <c r="M301" i="4"/>
  <c r="N301" i="4" s="1"/>
  <c r="M263" i="4"/>
  <c r="N263" i="4" s="1"/>
  <c r="M255" i="4"/>
  <c r="N255" i="4" s="1"/>
  <c r="M254" i="4"/>
  <c r="N254" i="4" s="1"/>
  <c r="M246" i="4"/>
  <c r="N246" i="4" s="1"/>
  <c r="M240" i="4"/>
  <c r="N240" i="4" s="1"/>
  <c r="M225" i="4"/>
  <c r="N225" i="4" s="1"/>
  <c r="M209" i="4"/>
  <c r="N209" i="4" s="1"/>
  <c r="M172" i="4"/>
  <c r="N172" i="4" s="1"/>
  <c r="M162" i="4"/>
  <c r="N162" i="4" s="1"/>
  <c r="M149" i="4"/>
  <c r="N149" i="4" s="1"/>
  <c r="M147" i="4"/>
  <c r="N147" i="4" s="1"/>
  <c r="M101" i="4"/>
  <c r="N101" i="4" s="1"/>
  <c r="M92" i="4"/>
  <c r="N92" i="4" s="1"/>
  <c r="M383" i="4"/>
  <c r="N383" i="4" s="1"/>
  <c r="M367" i="4"/>
  <c r="N367" i="4" s="1"/>
  <c r="M365" i="4"/>
  <c r="N365" i="4" s="1"/>
  <c r="M355" i="4"/>
  <c r="N355" i="4" s="1"/>
  <c r="M309" i="4"/>
  <c r="N309" i="4" s="1"/>
  <c r="M256" i="4"/>
  <c r="N256" i="4" s="1"/>
  <c r="M213" i="4"/>
  <c r="N213" i="4" s="1"/>
  <c r="M184" i="4"/>
  <c r="N184" i="4" s="1"/>
  <c r="M182" i="4"/>
  <c r="N182" i="4" s="1"/>
  <c r="M146" i="4"/>
  <c r="N146" i="4" s="1"/>
  <c r="M90" i="4"/>
  <c r="N90" i="4" s="1"/>
  <c r="M88" i="4"/>
  <c r="N88" i="4" s="1"/>
  <c r="M302" i="4"/>
  <c r="N302" i="4" s="1"/>
  <c r="M259" i="4"/>
  <c r="N259" i="4" s="1"/>
  <c r="M224" i="4"/>
  <c r="N224" i="4" s="1"/>
  <c r="M181" i="4"/>
  <c r="N181" i="4" s="1"/>
  <c r="M179" i="4"/>
  <c r="N179" i="4" s="1"/>
  <c r="M84" i="4"/>
  <c r="N84" i="4" s="1"/>
  <c r="J5" i="4"/>
  <c r="K5" i="4" s="1"/>
  <c r="M5" i="4" s="1"/>
  <c r="N5" i="4" s="1"/>
  <c r="M226" i="4"/>
  <c r="N226" i="4" s="1"/>
  <c r="M218" i="4"/>
  <c r="N218" i="4" s="1"/>
  <c r="M215" i="4"/>
  <c r="N215" i="4" s="1"/>
  <c r="M183" i="4"/>
  <c r="N183" i="4" s="1"/>
  <c r="M178" i="4"/>
  <c r="N178" i="4" s="1"/>
  <c r="M167" i="4"/>
  <c r="N167" i="4" s="1"/>
  <c r="M166" i="4"/>
  <c r="N166" i="4" s="1"/>
  <c r="M164" i="4"/>
  <c r="N164" i="4" s="1"/>
  <c r="M142" i="4"/>
  <c r="N142" i="4" s="1"/>
  <c r="M138" i="4"/>
  <c r="N138" i="4" s="1"/>
  <c r="M100" i="4"/>
  <c r="N100" i="4" s="1"/>
  <c r="M85" i="4"/>
  <c r="N85" i="4" s="1"/>
  <c r="M214" i="4"/>
  <c r="N214" i="4" s="1"/>
  <c r="M129" i="4"/>
  <c r="N129" i="4" s="1"/>
  <c r="J29" i="4"/>
  <c r="K29" i="4" s="1"/>
  <c r="M29" i="4" s="1"/>
  <c r="N29" i="4" s="1"/>
  <c r="M463" i="4"/>
  <c r="N463" i="4" s="1"/>
  <c r="M330" i="4"/>
  <c r="N330" i="4" s="1"/>
  <c r="M305" i="4"/>
  <c r="N305" i="4" s="1"/>
  <c r="M303" i="4"/>
  <c r="N303" i="4" s="1"/>
  <c r="H3" i="1"/>
  <c r="M469" i="4"/>
  <c r="N469" i="4" s="1"/>
  <c r="M470" i="4"/>
  <c r="N470" i="4" s="1"/>
  <c r="M461" i="4"/>
  <c r="N461" i="4" s="1"/>
  <c r="M109" i="4"/>
  <c r="N109" i="4" s="1"/>
  <c r="M16" i="4"/>
  <c r="N16" i="4" s="1"/>
  <c r="J14" i="4"/>
  <c r="K14" i="4" s="1"/>
  <c r="M14" i="4" s="1"/>
  <c r="N14" i="4" s="1"/>
  <c r="J3" i="4"/>
  <c r="K3" i="4" s="1"/>
  <c r="M3" i="4" s="1"/>
  <c r="N3" i="4" s="1"/>
  <c r="M453" i="4"/>
  <c r="N453" i="4" s="1"/>
  <c r="M280" i="4"/>
  <c r="N280" i="4" s="1"/>
  <c r="M278" i="4"/>
  <c r="N278" i="4" s="1"/>
  <c r="M268" i="4"/>
  <c r="N268" i="4" s="1"/>
  <c r="M206" i="4"/>
  <c r="N206" i="4" s="1"/>
  <c r="M204" i="4"/>
  <c r="N204" i="4" s="1"/>
  <c r="M201" i="4"/>
  <c r="N201" i="4" s="1"/>
  <c r="M199" i="4"/>
  <c r="N199" i="4" s="1"/>
  <c r="J42" i="4"/>
  <c r="K42" i="4" s="1"/>
  <c r="M42" i="4" s="1"/>
  <c r="N42" i="4" s="1"/>
  <c r="J41" i="4"/>
  <c r="K41" i="4" s="1"/>
  <c r="M41" i="4" s="1"/>
  <c r="N41" i="4" s="1"/>
  <c r="J25" i="4"/>
  <c r="K25" i="4" s="1"/>
  <c r="M25" i="4" s="1"/>
  <c r="N25" i="4" s="1"/>
  <c r="M500" i="4"/>
  <c r="N500" i="4" s="1"/>
  <c r="M310" i="4"/>
  <c r="N310" i="4" s="1"/>
  <c r="M315" i="4"/>
  <c r="N315" i="4" s="1"/>
  <c r="M269" i="4"/>
  <c r="N269" i="4" s="1"/>
  <c r="M265" i="4"/>
  <c r="N265" i="4" s="1"/>
  <c r="M264" i="4"/>
  <c r="N264" i="4" s="1"/>
  <c r="M253" i="4"/>
  <c r="N253" i="4" s="1"/>
  <c r="M252" i="4"/>
  <c r="N252" i="4" s="1"/>
  <c r="M250" i="4"/>
  <c r="N250" i="4" s="1"/>
  <c r="M244" i="4"/>
  <c r="N244" i="4" s="1"/>
  <c r="M243" i="4"/>
  <c r="N243" i="4" s="1"/>
  <c r="M242" i="4"/>
  <c r="N242" i="4" s="1"/>
  <c r="M221" i="4"/>
  <c r="N221" i="4" s="1"/>
  <c r="M217" i="4"/>
  <c r="N217" i="4" s="1"/>
  <c r="M216" i="4"/>
  <c r="N216" i="4" s="1"/>
  <c r="M208" i="4"/>
  <c r="N208" i="4" s="1"/>
  <c r="M202" i="4"/>
  <c r="N202" i="4" s="1"/>
  <c r="M196" i="4"/>
  <c r="N196" i="4" s="1"/>
  <c r="M137" i="4"/>
  <c r="N137" i="4" s="1"/>
  <c r="M136" i="4"/>
  <c r="N136" i="4" s="1"/>
  <c r="M135" i="4"/>
  <c r="N135" i="4" s="1"/>
  <c r="M133" i="4"/>
  <c r="N133" i="4" s="1"/>
  <c r="J30" i="4"/>
  <c r="K30" i="4" s="1"/>
  <c r="M30" i="4" s="1"/>
  <c r="N30" i="4" s="1"/>
  <c r="J2" i="4"/>
  <c r="K2" i="4" s="1"/>
  <c r="M2" i="4" s="1"/>
  <c r="N2" i="4" s="1"/>
  <c r="M313" i="4"/>
  <c r="N313" i="4" s="1"/>
  <c r="M294" i="4"/>
  <c r="N294" i="4" s="1"/>
  <c r="M307" i="4"/>
  <c r="N307" i="4" s="1"/>
  <c r="M297" i="4"/>
  <c r="N297" i="4" s="1"/>
  <c r="M296" i="4"/>
  <c r="N296" i="4" s="1"/>
  <c r="M284" i="4"/>
  <c r="N284" i="4" s="1"/>
  <c r="M276" i="4"/>
  <c r="N276" i="4" s="1"/>
  <c r="M251" i="4"/>
  <c r="N251" i="4" s="1"/>
  <c r="M212" i="4"/>
  <c r="N212" i="4" s="1"/>
  <c r="M207" i="4"/>
  <c r="N207" i="4" s="1"/>
  <c r="M200" i="4"/>
  <c r="N200" i="4" s="1"/>
  <c r="M194" i="4"/>
  <c r="N194" i="4" s="1"/>
  <c r="M192" i="4"/>
  <c r="N192" i="4" s="1"/>
  <c r="J28" i="4"/>
  <c r="K28" i="4" s="1"/>
  <c r="M28" i="4" s="1"/>
  <c r="N28" i="4" s="1"/>
  <c r="M275" i="4"/>
  <c r="N275" i="4" s="1"/>
  <c r="M272" i="4"/>
  <c r="N272" i="4" s="1"/>
  <c r="M195" i="4"/>
  <c r="N195" i="4" s="1"/>
  <c r="J27" i="4"/>
  <c r="K27" i="4" s="1"/>
  <c r="M27" i="4" s="1"/>
  <c r="N27" i="4" s="1"/>
  <c r="J24" i="4"/>
  <c r="K24" i="4" s="1"/>
  <c r="M24" i="4" s="1"/>
  <c r="N24" i="4" s="1"/>
  <c r="M219" i="4"/>
  <c r="N219" i="4" s="1"/>
  <c r="M203" i="4"/>
  <c r="N203" i="4" s="1"/>
  <c r="M191" i="4"/>
  <c r="N191" i="4" s="1"/>
  <c r="M70" i="4"/>
  <c r="N70" i="4" s="1"/>
  <c r="M68" i="4"/>
  <c r="N68" i="4" s="1"/>
  <c r="J39" i="4"/>
  <c r="K39" i="4" s="1"/>
  <c r="M39" i="4" s="1"/>
  <c r="N39" i="4" s="1"/>
  <c r="J22" i="4"/>
  <c r="K22" i="4" s="1"/>
  <c r="M22" i="4" s="1"/>
  <c r="N22" i="4" s="1"/>
  <c r="J21" i="4"/>
  <c r="K21" i="4" s="1"/>
  <c r="M21" i="4" s="1"/>
  <c r="N21" i="4" s="1"/>
  <c r="J18" i="4"/>
  <c r="K18" i="4" s="1"/>
  <c r="M18" i="4" s="1"/>
  <c r="N18" i="4" s="1"/>
  <c r="M75" i="4"/>
  <c r="N75" i="4" s="1"/>
  <c r="M69" i="4"/>
  <c r="N69" i="4" s="1"/>
  <c r="M60" i="4"/>
  <c r="N60" i="4" s="1"/>
  <c r="J40" i="4"/>
  <c r="K40" i="4" s="1"/>
  <c r="M40" i="4" s="1"/>
  <c r="N40" i="4" s="1"/>
  <c r="J26" i="4"/>
  <c r="K26" i="4" s="1"/>
  <c r="M26" i="4" s="1"/>
  <c r="N26" i="4" s="1"/>
  <c r="M197" i="4"/>
  <c r="N197" i="4" s="1"/>
  <c r="M451" i="4"/>
  <c r="N451" i="4" s="1"/>
  <c r="M450" i="4"/>
  <c r="N450" i="4" s="1"/>
  <c r="M314" i="4"/>
  <c r="N314" i="4" s="1"/>
  <c r="M311" i="4"/>
  <c r="N311" i="4" s="1"/>
  <c r="M287" i="4"/>
  <c r="N287" i="4" s="1"/>
  <c r="M279" i="4"/>
  <c r="N279" i="4" s="1"/>
  <c r="M277" i="4"/>
  <c r="N277" i="4" s="1"/>
  <c r="M273" i="4"/>
  <c r="N273" i="4" s="1"/>
  <c r="M271" i="4"/>
  <c r="N271" i="4" s="1"/>
  <c r="M266" i="4"/>
  <c r="N266" i="4" s="1"/>
  <c r="M262" i="4"/>
  <c r="N262" i="4" s="1"/>
  <c r="M249" i="4"/>
  <c r="N249" i="4" s="1"/>
  <c r="M222" i="4"/>
  <c r="N222" i="4" s="1"/>
  <c r="M210" i="4"/>
  <c r="N210" i="4" s="1"/>
  <c r="M205" i="4"/>
  <c r="N205" i="4" s="1"/>
  <c r="M198" i="4"/>
  <c r="N198" i="4" s="1"/>
  <c r="M187" i="4"/>
  <c r="N187" i="4" s="1"/>
  <c r="M502" i="4"/>
  <c r="N502" i="4" s="1"/>
  <c r="M501" i="4"/>
  <c r="N501" i="4" s="1"/>
  <c r="M455" i="4"/>
  <c r="N455" i="4" s="1"/>
  <c r="M317" i="4"/>
  <c r="N317" i="4" s="1"/>
  <c r="M312" i="4"/>
  <c r="N312" i="4" s="1"/>
  <c r="J6" i="4"/>
  <c r="K6" i="4" s="1"/>
  <c r="M6" i="4" s="1"/>
  <c r="N6" i="4" s="1"/>
  <c r="M386" i="4"/>
  <c r="N386" i="4" s="1"/>
  <c r="M334" i="4"/>
  <c r="N334" i="4" s="1"/>
  <c r="M494" i="4"/>
  <c r="N494" i="4" s="1"/>
  <c r="M282" i="4"/>
  <c r="N282" i="4" s="1"/>
  <c r="M248" i="4"/>
  <c r="N248" i="4" s="1"/>
  <c r="M247" i="4"/>
  <c r="N247" i="4" s="1"/>
  <c r="M89" i="4"/>
  <c r="N89" i="4" s="1"/>
  <c r="M78" i="4"/>
  <c r="N78" i="4" s="1"/>
  <c r="M76" i="4"/>
  <c r="N76" i="4" s="1"/>
  <c r="M492" i="4"/>
  <c r="N492" i="4" s="1"/>
  <c r="M122" i="4"/>
  <c r="N122" i="4" s="1"/>
  <c r="M98" i="4"/>
  <c r="N98" i="4" s="1"/>
  <c r="J45" i="4"/>
  <c r="K45" i="4" s="1"/>
  <c r="M45" i="4" s="1"/>
  <c r="N45" i="4" s="1"/>
  <c r="J43" i="4"/>
  <c r="K43" i="4" s="1"/>
  <c r="M43" i="4" s="1"/>
  <c r="N43" i="4" s="1"/>
  <c r="J38" i="4"/>
  <c r="K38" i="4" s="1"/>
  <c r="M38" i="4" s="1"/>
  <c r="N38" i="4" s="1"/>
  <c r="J23" i="4"/>
  <c r="K23" i="4" s="1"/>
  <c r="M23" i="4" s="1"/>
  <c r="N23" i="4" s="1"/>
  <c r="J9" i="4"/>
  <c r="K9" i="4" s="1"/>
  <c r="M9" i="4" s="1"/>
  <c r="N9" i="4" s="1"/>
  <c r="J34" i="4"/>
  <c r="K34" i="4" s="1"/>
  <c r="M34" i="4" s="1"/>
  <c r="N34" i="4" s="1"/>
  <c r="J12" i="4"/>
  <c r="K12" i="4" s="1"/>
  <c r="M12" i="4" s="1"/>
  <c r="N12" i="4" s="1"/>
  <c r="J10" i="3"/>
  <c r="H32" i="1" s="1"/>
  <c r="I10" i="3"/>
  <c r="G32" i="1" s="1"/>
  <c r="J9" i="3"/>
  <c r="H31" i="1" s="1"/>
  <c r="I9" i="3"/>
  <c r="G31" i="1" s="1"/>
  <c r="J8" i="3"/>
  <c r="H30" i="1" s="1"/>
  <c r="I8" i="3"/>
  <c r="G30" i="1" s="1"/>
  <c r="J7" i="3"/>
  <c r="H29" i="1" s="1"/>
  <c r="I7" i="3"/>
  <c r="G29" i="1" s="1"/>
  <c r="J6" i="3"/>
  <c r="H28" i="1" s="1"/>
  <c r="I6" i="3"/>
  <c r="G28" i="1" s="1"/>
  <c r="I38" i="1"/>
  <c r="I39" i="1"/>
  <c r="I41" i="1"/>
  <c r="I40" i="1"/>
  <c r="I42" i="1"/>
  <c r="G38" i="1"/>
  <c r="G39" i="1"/>
  <c r="G40" i="1"/>
  <c r="G41" i="1"/>
  <c r="G42" i="1"/>
  <c r="G24" i="1"/>
  <c r="B24" i="1"/>
  <c r="F24" i="1"/>
  <c r="D24" i="1"/>
  <c r="E24" i="1"/>
  <c r="C24" i="1"/>
  <c r="E23" i="1"/>
  <c r="G23" i="1"/>
  <c r="C23" i="1"/>
  <c r="D23" i="1"/>
  <c r="B23" i="1"/>
  <c r="F23" i="1"/>
  <c r="G22" i="1"/>
  <c r="B22" i="1"/>
  <c r="F22" i="1"/>
  <c r="E22" i="1"/>
  <c r="C22" i="1"/>
  <c r="D22" i="1"/>
  <c r="G21" i="1"/>
  <c r="D21" i="1"/>
  <c r="C21" i="1"/>
  <c r="B21" i="1"/>
  <c r="E21" i="1"/>
  <c r="F21" i="1"/>
  <c r="D20" i="1"/>
  <c r="C20" i="1"/>
  <c r="B20" i="1"/>
  <c r="G20" i="1"/>
  <c r="F20" i="1"/>
  <c r="E20" i="1"/>
  <c r="B11" i="1" l="1"/>
  <c r="B6" i="3" s="1"/>
  <c r="B28" i="1" s="1"/>
  <c r="C38" i="1"/>
  <c r="D11" i="1"/>
  <c r="D38" i="1"/>
  <c r="D6" i="3"/>
  <c r="D28" i="1"/>
  <c r="E38" i="1"/>
  <c r="E6" i="3"/>
  <c r="E28" i="1"/>
  <c r="F38" i="1"/>
  <c r="M6" i="3"/>
  <c r="K28" i="1" s="1"/>
  <c r="H38" i="1"/>
  <c r="B12" i="1"/>
  <c r="B7" i="3" s="1"/>
  <c r="B29" i="1" s="1"/>
  <c r="C39" i="1"/>
  <c r="D12" i="1"/>
  <c r="D39" i="1"/>
  <c r="D7" i="3"/>
  <c r="D29" i="1"/>
  <c r="E39" i="1"/>
  <c r="E7" i="3"/>
  <c r="E29" i="1"/>
  <c r="F39" i="1"/>
  <c r="M7" i="3"/>
  <c r="K29" i="1" s="1"/>
  <c r="H39" i="1"/>
  <c r="B13" i="1"/>
  <c r="B8" i="3" s="1"/>
  <c r="B30" i="1" s="1"/>
  <c r="C41" i="1"/>
  <c r="D13" i="1"/>
  <c r="D41" i="1"/>
  <c r="D8" i="3"/>
  <c r="D30" i="1"/>
  <c r="E41" i="1"/>
  <c r="E8" i="3"/>
  <c r="E30" i="1"/>
  <c r="F41" i="1"/>
  <c r="M8" i="3"/>
  <c r="K30" i="1" s="1"/>
  <c r="H41" i="1"/>
  <c r="B14" i="1"/>
  <c r="B9" i="3" s="1"/>
  <c r="B31" i="1" s="1"/>
  <c r="C40" i="1"/>
  <c r="D14" i="1"/>
  <c r="D40" i="1"/>
  <c r="D9" i="3"/>
  <c r="D31" i="1"/>
  <c r="E40" i="1"/>
  <c r="E9" i="3"/>
  <c r="E31" i="1"/>
  <c r="F40" i="1"/>
  <c r="M9" i="3"/>
  <c r="K31" i="1" s="1"/>
  <c r="H40" i="1"/>
  <c r="B15" i="1"/>
  <c r="B10" i="3" s="1"/>
  <c r="B32" i="1" s="1"/>
  <c r="C42" i="1"/>
  <c r="D15" i="1"/>
  <c r="D42" i="1"/>
  <c r="D10" i="3"/>
  <c r="D32" i="1"/>
  <c r="E42" i="1"/>
  <c r="E10" i="3"/>
  <c r="E32" i="1"/>
  <c r="F42" i="1"/>
  <c r="M10" i="3"/>
  <c r="K32" i="1" s="1"/>
  <c r="H42" i="1"/>
</calcChain>
</file>

<file path=xl/sharedStrings.xml><?xml version="1.0" encoding="utf-8"?>
<sst xmlns="http://schemas.openxmlformats.org/spreadsheetml/2006/main" count="1038" uniqueCount="429">
  <si>
    <t>Rochelle Labeling Shift Passdown (Dashboard v2)</t>
  </si>
  <si>
    <t>Date</t>
  </si>
  <si>
    <t>Shift</t>
  </si>
  <si>
    <t>Supervisor</t>
  </si>
  <si>
    <t>Lines Covered</t>
  </si>
  <si>
    <t>1-5</t>
  </si>
  <si>
    <t>Total Cases</t>
  </si>
  <si>
    <t>Avg OEE</t>
  </si>
  <si>
    <t>Shift Minutes</t>
  </si>
  <si>
    <t>Scheduled HC</t>
  </si>
  <si>
    <t>Present HC</t>
  </si>
  <si>
    <t>Absent HC</t>
  </si>
  <si>
    <t>OT Labor</t>
  </si>
  <si>
    <t>Total OT Hrs</t>
  </si>
  <si>
    <t>LINE SUMMARY (enter key production stats)</t>
  </si>
  <si>
    <t>OVERTIME LIST (who came / who didn't)</t>
  </si>
  <si>
    <t>OT Showed</t>
  </si>
  <si>
    <t>OT No-Show</t>
  </si>
  <si>
    <t>SHIFT HIGHLIGHTS (2–4 bullets):
• 
• 
•</t>
  </si>
  <si>
    <t>Line</t>
  </si>
  <si>
    <t>Order #</t>
  </si>
  <si>
    <t>SKU</t>
  </si>
  <si>
    <t>Description</t>
  </si>
  <si>
    <t>Target Cases</t>
  </si>
  <si>
    <t>Actual Cases</t>
  </si>
  <si>
    <t>OEE</t>
  </si>
  <si>
    <t>TrakSYS DT (min)</t>
  </si>
  <si>
    <t>Why off target / Key constraint</t>
  </si>
  <si>
    <t>Next shift needs</t>
  </si>
  <si>
    <t>TOTAL / WEIGHTED</t>
  </si>
  <si>
    <t>TOP DOWNTIME / EVENTS (auto-pulls top 5 by minutes from EVENTS tab)</t>
  </si>
  <si>
    <t>Rank</t>
  </si>
  <si>
    <t>Minutes</t>
  </si>
  <si>
    <t>Area</t>
  </si>
  <si>
    <t>Issue / What happened</t>
  </si>
  <si>
    <t>Status</t>
  </si>
  <si>
    <t>Next step / Owner</t>
  </si>
  <si>
    <t>CHANGEOVER PREP (90-min lead) — update Next Order + prep status in CHANGEOVERS tab</t>
  </si>
  <si>
    <t>Current Order #</t>
  </si>
  <si>
    <t>Current SKU</t>
  </si>
  <si>
    <t>Next Order #</t>
  </si>
  <si>
    <t>Next SKU</t>
  </si>
  <si>
    <t>Remaining Cases</t>
  </si>
  <si>
    <t>Est Min Remaining</t>
  </si>
  <si>
    <t>Prep Status</t>
  </si>
  <si>
    <t>Materials Staged</t>
  </si>
  <si>
    <t>BRITE Done</t>
  </si>
  <si>
    <t>Notes</t>
  </si>
  <si>
    <t>CREW ROSTER BY LINE (from Staffing → Crew Log)</t>
  </si>
  <si>
    <t>Total Crew</t>
  </si>
  <si>
    <t>Present</t>
  </si>
  <si>
    <t>Absent</t>
  </si>
  <si>
    <t>Pri</t>
  </si>
  <si>
    <t>Employee</t>
  </si>
  <si>
    <t>Position</t>
  </si>
  <si>
    <t>OT?</t>
  </si>
  <si>
    <t>PRODUCTION SCHEDULE BY PRIORITY</t>
  </si>
  <si>
    <t>Current WO</t>
  </si>
  <si>
    <t>Next WO</t>
  </si>
  <si>
    <t>Next Desc</t>
  </si>
  <si>
    <t>% Complete</t>
  </si>
  <si>
    <t>Hard Stop</t>
  </si>
  <si>
    <t>Schedule Notes</t>
  </si>
  <si>
    <t>Daily use: update Date+Shift at top → Staffing auto-populates Crew Log → Crew Roster, Schedule, and Changeovers update automatically. Grade lives in CREW_LOG only.</t>
  </si>
  <si>
    <t>Daily Production Schedule</t>
  </si>
  <si>
    <t>Line Priority</t>
  </si>
  <si>
    <t>1-2-4-3-5</t>
  </si>
  <si>
    <t>Priority</t>
  </si>
  <si>
    <t>Work Order #</t>
  </si>
  <si>
    <t>Shifts</t>
  </si>
  <si>
    <t>Cases Completed</t>
  </si>
  <si>
    <t>Target/Shift</t>
  </si>
  <si>
    <t>Seq</t>
  </si>
  <si>
    <t>WO Made</t>
  </si>
  <si>
    <t>2005210</t>
  </si>
  <si>
    <t>6/29OZ_DM WK GOLD CORN</t>
  </si>
  <si>
    <t>yes</t>
  </si>
  <si>
    <t>2000376</t>
  </si>
  <si>
    <t>1/8-15.25OZ_DM WK GOLD CORN</t>
  </si>
  <si>
    <t>2001312</t>
  </si>
  <si>
    <t>24/14.75OZ_DM SSCRM GLD CRN</t>
  </si>
  <si>
    <t>2000901</t>
  </si>
  <si>
    <t>12/15.25OZ_DM GREEN LIMA BEANS</t>
  </si>
  <si>
    <t>2000899</t>
  </si>
  <si>
    <t>12/15.25OZ_DM WK WHITE CORN</t>
  </si>
  <si>
    <t>2000883</t>
  </si>
  <si>
    <t>12/15.25OZ_DM WKGC LOSOD</t>
  </si>
  <si>
    <t>2002160</t>
  </si>
  <si>
    <t>6/4-14.5OZ_DM CUT GRN BEANS</t>
  </si>
  <si>
    <t>2002144</t>
  </si>
  <si>
    <t>6/4-15.25OZ_DM WHOLE KERNEL CORN</t>
  </si>
  <si>
    <t>2002159</t>
  </si>
  <si>
    <t>6/4-14.5OZ_DM FS GREEN BEANS</t>
  </si>
  <si>
    <t>2005188</t>
  </si>
  <si>
    <t>12/11OZ_DM VP WHITE SHOEPEG CORN</t>
  </si>
  <si>
    <t>changing over</t>
  </si>
  <si>
    <t>2005383</t>
  </si>
  <si>
    <t>12/11OZ_DM VP WK MEX CORN</t>
  </si>
  <si>
    <t>min 4500/ run to 9000 then change back</t>
  </si>
  <si>
    <t>TBD</t>
  </si>
  <si>
    <t>hard stop @600</t>
  </si>
  <si>
    <t>Changeover Prep Planner (90 min lead)</t>
  </si>
  <si>
    <t>Prep Lead (min)</t>
  </si>
  <si>
    <t>Rate Mode</t>
  </si>
  <si>
    <t>As-of Time</t>
  </si>
  <si>
    <t>Manual CPH</t>
  </si>
  <si>
    <t>CHANGEOVER FORECAST / PREP — sheet calculates PREP NOW based on minutes remaining (lead time = cell J2)</t>
  </si>
  <si>
    <t>Rate Used CPH</t>
  </si>
  <si>
    <t>Std CPH (helper)</t>
  </si>
  <si>
    <t>OEE (helper)</t>
  </si>
  <si>
    <t>Executed Changeover Log (optional)</t>
  </si>
  <si>
    <t>From Order</t>
  </si>
  <si>
    <t>To Order</t>
  </si>
  <si>
    <t>Start</t>
  </si>
  <si>
    <t>End</t>
  </si>
  <si>
    <t>Duration (min)</t>
  </si>
  <si>
    <t>&lt;=90?</t>
  </si>
  <si>
    <t>Reason / Notes</t>
  </si>
  <si>
    <t>Line 3</t>
  </si>
  <si>
    <t>Line 4</t>
  </si>
  <si>
    <t>Line 5</t>
  </si>
  <si>
    <t>Machine (schedule)</t>
  </si>
  <si>
    <t>Downtime Area (events)</t>
  </si>
  <si>
    <t>Present (Y/N)</t>
  </si>
  <si>
    <t>Area DT (min)</t>
  </si>
  <si>
    <t>Availability %</t>
  </si>
  <si>
    <t>Line OEE</t>
  </si>
  <si>
    <t>Machine Score</t>
  </si>
  <si>
    <t>Grade</t>
  </si>
  <si>
    <t>Reuben Callamco</t>
  </si>
  <si>
    <t>Checker</t>
  </si>
  <si>
    <t>Y</t>
  </si>
  <si>
    <t>N</t>
  </si>
  <si>
    <t>Maria Balzcar</t>
  </si>
  <si>
    <t>Labeler</t>
  </si>
  <si>
    <t>Daniel Orozco Ramos</t>
  </si>
  <si>
    <t>Caser</t>
  </si>
  <si>
    <t>Angelica Munoz</t>
  </si>
  <si>
    <t>Shrink Tunnel</t>
  </si>
  <si>
    <t>Maria Graciano</t>
  </si>
  <si>
    <t>Palletizer</t>
  </si>
  <si>
    <t>Rodrigo Hernandez</t>
  </si>
  <si>
    <t>Drive Off</t>
  </si>
  <si>
    <t>Fernando Rocha</t>
  </si>
  <si>
    <t>Releif Operator</t>
  </si>
  <si>
    <t>Kenny Bryant</t>
  </si>
  <si>
    <t>Mayra Cacique</t>
  </si>
  <si>
    <t>Depal</t>
  </si>
  <si>
    <t>Paola Garcia</t>
  </si>
  <si>
    <t>Labeler B</t>
  </si>
  <si>
    <t>Rufino Arguellas</t>
  </si>
  <si>
    <t>Riverwood</t>
  </si>
  <si>
    <t>Ramero Ramirez</t>
  </si>
  <si>
    <t>Upstairs</t>
  </si>
  <si>
    <t>Maria Espinoza</t>
  </si>
  <si>
    <t>Don Gibson</t>
  </si>
  <si>
    <t>Cristian Garcia</t>
  </si>
  <si>
    <t>Maria Hermosilla</t>
  </si>
  <si>
    <t>RO Training</t>
  </si>
  <si>
    <t>Dan Martinez</t>
  </si>
  <si>
    <t>Netafil Belmonte</t>
  </si>
  <si>
    <t>Melesio Velazco</t>
  </si>
  <si>
    <t>Maria Gonzalez</t>
  </si>
  <si>
    <t>Lorena Velasco</t>
  </si>
  <si>
    <t>Minerva Garza</t>
  </si>
  <si>
    <t>Ulises Moreno</t>
  </si>
  <si>
    <t>Brayan Rocha</t>
  </si>
  <si>
    <t>Clara Velazco</t>
  </si>
  <si>
    <t>Depal:</t>
  </si>
  <si>
    <t>Irma Sandoval</t>
  </si>
  <si>
    <t>Rosa Haro Moreno</t>
  </si>
  <si>
    <t>RA Jones</t>
  </si>
  <si>
    <t>Milidia Dupairion</t>
  </si>
  <si>
    <t>Traypacker</t>
  </si>
  <si>
    <t>Fiorella Belfiore</t>
  </si>
  <si>
    <t>Jesus Orozco</t>
  </si>
  <si>
    <t>Juan Cacique</t>
  </si>
  <si>
    <t>Arlene Martinez</t>
  </si>
  <si>
    <t>Angelina Childtveep</t>
  </si>
  <si>
    <t>Adriana Dupairon</t>
  </si>
  <si>
    <t>Vanessa Gonzalez</t>
  </si>
  <si>
    <t>Noe Rosas</t>
  </si>
  <si>
    <t>OT from 2nd</t>
  </si>
  <si>
    <t>OT from 2nd shift</t>
  </si>
  <si>
    <t>Risney Campos</t>
  </si>
  <si>
    <t>Rafael Legra</t>
  </si>
  <si>
    <t>Shannon Hayes</t>
  </si>
  <si>
    <t>Yuleisby Garcia</t>
  </si>
  <si>
    <t>Victor Mendoza</t>
  </si>
  <si>
    <t>Yaremis Campos</t>
  </si>
  <si>
    <t>Marilu</t>
  </si>
  <si>
    <t>Alejandro Bonilla</t>
  </si>
  <si>
    <t>OT from 1st</t>
  </si>
  <si>
    <t>OT from 1st shift</t>
  </si>
  <si>
    <t>David Needs</t>
  </si>
  <si>
    <t>Ricardo Pizano</t>
  </si>
  <si>
    <t>Matthew-O'Rorke</t>
  </si>
  <si>
    <t>Maria Hernandez</t>
  </si>
  <si>
    <t>John Thompson</t>
  </si>
  <si>
    <t>Maria Pena</t>
  </si>
  <si>
    <t>Martha H. Perez</t>
  </si>
  <si>
    <t>Shift Events / Downtime / RCA Log</t>
  </si>
  <si>
    <t>Enter each downtime/event here (including quality/safety/housekeeping). Minutes can be typed directly, or use Start/End time. Columns 'RCA ID' and 'OPL Needed' are optional but help drive follow-up.</t>
  </si>
  <si>
    <t>Event Type</t>
  </si>
  <si>
    <t>Area/Machine</t>
  </si>
  <si>
    <t>Action taken</t>
  </si>
  <si>
    <t>Result / Current condition</t>
  </si>
  <si>
    <t>Root Cause (short)</t>
  </si>
  <si>
    <t>Countermeasure / Next step</t>
  </si>
  <si>
    <t>Owner</t>
  </si>
  <si>
    <t>Due Date</t>
  </si>
  <si>
    <t>OPL Needed</t>
  </si>
  <si>
    <t>RCA ID</t>
  </si>
  <si>
    <t>_SortKey</t>
  </si>
  <si>
    <t>Lines</t>
  </si>
  <si>
    <t>Y/N</t>
  </si>
  <si>
    <t>RateMode</t>
  </si>
  <si>
    <t>Std CPH (cases/hr)</t>
  </si>
  <si>
    <t>Std CPH value</t>
  </si>
  <si>
    <t>Priority #</t>
  </si>
  <si>
    <t>1st</t>
  </si>
  <si>
    <t>Open</t>
  </si>
  <si>
    <t>Start up</t>
  </si>
  <si>
    <t>2nd</t>
  </si>
  <si>
    <t>Monitoring</t>
  </si>
  <si>
    <t>Std CPH x OEE</t>
  </si>
  <si>
    <t>3rd</t>
  </si>
  <si>
    <t>Resolved</t>
  </si>
  <si>
    <t>Inspection Equipment</t>
  </si>
  <si>
    <t>Std CPH</t>
  </si>
  <si>
    <t>Closed</t>
  </si>
  <si>
    <t>Conveyers</t>
  </si>
  <si>
    <t>Bear Labeler</t>
  </si>
  <si>
    <t>Labeler A</t>
  </si>
  <si>
    <t>Tray Packer</t>
  </si>
  <si>
    <t>Case Turner</t>
  </si>
  <si>
    <t>Langguth Labeler</t>
  </si>
  <si>
    <t>Douglas Tray Packer</t>
  </si>
  <si>
    <t>Set-up</t>
  </si>
  <si>
    <t>Ryson Spiral</t>
  </si>
  <si>
    <t>Accumulation table</t>
  </si>
  <si>
    <t>Diagraph Print and Apply</t>
  </si>
  <si>
    <t>Product Quality</t>
  </si>
  <si>
    <t>Labor</t>
  </si>
  <si>
    <t>Laser Jet Printer</t>
  </si>
  <si>
    <t>X-Ray Machine</t>
  </si>
  <si>
    <t>Double Stacker</t>
  </si>
  <si>
    <t>Shrink Wrapper</t>
  </si>
  <si>
    <t>Video Jet Print and Apply</t>
  </si>
  <si>
    <t>Pallet Wrapper</t>
  </si>
  <si>
    <t>Changeover</t>
  </si>
  <si>
    <t>Lunch &amp; Breaks</t>
  </si>
  <si>
    <t>Quality Event</t>
  </si>
  <si>
    <t>Safety Event</t>
  </si>
  <si>
    <t>Other</t>
  </si>
  <si>
    <t>3rd Shift (2300-0700)</t>
  </si>
  <si>
    <t>CA needed</t>
  </si>
  <si>
    <t>Names</t>
  </si>
  <si>
    <t>Off</t>
  </si>
  <si>
    <t>Back</t>
  </si>
  <si>
    <t>Back2</t>
  </si>
  <si>
    <t>Type</t>
  </si>
  <si>
    <t>Label Line</t>
  </si>
  <si>
    <t>EVD</t>
  </si>
  <si>
    <t>Line 1</t>
  </si>
  <si>
    <t>Line 2-8pk</t>
  </si>
  <si>
    <t>orange accent 2 lighter 80%</t>
  </si>
  <si>
    <t>Training</t>
  </si>
  <si>
    <t>Tomas Gonzalez</t>
  </si>
  <si>
    <t>Vacat</t>
  </si>
  <si>
    <t xml:space="preserve">Dan Martinez </t>
  </si>
  <si>
    <t>Green accent 6 lighter 60%</t>
  </si>
  <si>
    <t>3rd shift Employees Covering a gap</t>
  </si>
  <si>
    <t xml:space="preserve">Maria Espinoza </t>
  </si>
  <si>
    <t xml:space="preserve">Mayra Cacique </t>
  </si>
  <si>
    <t xml:space="preserve">Netafil Belmonte </t>
  </si>
  <si>
    <t>OT Needed</t>
  </si>
  <si>
    <t>Tourquoise accent 4 lighter 60</t>
  </si>
  <si>
    <t>ROs</t>
  </si>
  <si>
    <t xml:space="preserve">Paola Garcia </t>
  </si>
  <si>
    <t>Ligh Gray background, darker 25%</t>
  </si>
  <si>
    <t>Employees swaped due to skills gap</t>
  </si>
  <si>
    <t xml:space="preserve">Angelica Munoz </t>
  </si>
  <si>
    <t xml:space="preserve">Lorena Velasco </t>
  </si>
  <si>
    <t>orange accent 2 lighter 40%</t>
  </si>
  <si>
    <t>Employees from different departments</t>
  </si>
  <si>
    <t xml:space="preserve">Palletizer </t>
  </si>
  <si>
    <t xml:space="preserve">Maria Graciano  </t>
  </si>
  <si>
    <t>Dark blue accent 2 50% lighter</t>
  </si>
  <si>
    <t>Temporary Assignment</t>
  </si>
  <si>
    <t xml:space="preserve">Irma Sandoval </t>
  </si>
  <si>
    <t xml:space="preserve">Rodrigo Hernandez </t>
  </si>
  <si>
    <t>plum accent 5 lighter 80</t>
  </si>
  <si>
    <t>Different Assisgnment--test</t>
  </si>
  <si>
    <t xml:space="preserve">Don Gibson </t>
  </si>
  <si>
    <t>dark green accent 3 lighter 40%</t>
  </si>
  <si>
    <t>2 lines</t>
  </si>
  <si>
    <t>Angelica Munoz Lopez 12-26--12-27</t>
  </si>
  <si>
    <t>ILL Paid</t>
  </si>
  <si>
    <t xml:space="preserve">Fernando Rocha </t>
  </si>
  <si>
    <t>Helper</t>
  </si>
  <si>
    <t>Maria Hermosillo</t>
  </si>
  <si>
    <t>Angelina Childtaveep-4hrs</t>
  </si>
  <si>
    <t xml:space="preserve"> </t>
  </si>
  <si>
    <t>Maria Espinova EVD</t>
  </si>
  <si>
    <t xml:space="preserve">Adriana Dupairon </t>
  </si>
  <si>
    <t>Cut Open</t>
  </si>
  <si>
    <t xml:space="preserve"> Antonio Garcia</t>
  </si>
  <si>
    <t>Carolina Arteaga</t>
  </si>
  <si>
    <t xml:space="preserve">Rosa Haro Moreno </t>
  </si>
  <si>
    <t xml:space="preserve">Milidia Dupairion  </t>
  </si>
  <si>
    <t>Shrink</t>
  </si>
  <si>
    <t xml:space="preserve">Fiorella Belfiore </t>
  </si>
  <si>
    <t xml:space="preserve">Vanessa Gonzalez </t>
  </si>
  <si>
    <t xml:space="preserve">Jesus Orozco </t>
  </si>
  <si>
    <t>Vacation Day:</t>
  </si>
  <si>
    <t>Call in:</t>
  </si>
  <si>
    <t>FMLA</t>
  </si>
  <si>
    <t>Coverage</t>
  </si>
  <si>
    <t>Absent:</t>
  </si>
  <si>
    <t xml:space="preserve"> Juan Cacique</t>
  </si>
  <si>
    <t>Fernando Rocha 12/8/25</t>
  </si>
  <si>
    <t>Adriana Dupairon 12/7/25</t>
  </si>
  <si>
    <t>Rufino Arguellas/returned: 12/8/25</t>
  </si>
  <si>
    <t>Juan Cacique/Line3/Relief OP/OEE: 44.2%</t>
  </si>
  <si>
    <t>Depal TR:</t>
  </si>
  <si>
    <t>Fernando Rocha 12/9/25</t>
  </si>
  <si>
    <t>Maria Hermosilla 12/7/25</t>
  </si>
  <si>
    <t>Dan Orozco 1/2shift /Line2/Riverwood/OEE: 47.1%</t>
  </si>
  <si>
    <t>Rich Mack</t>
  </si>
  <si>
    <t>Pal. Trainee</t>
  </si>
  <si>
    <t>Palletizer TR:</t>
  </si>
  <si>
    <t>Fernando Rocha 12/10/25</t>
  </si>
  <si>
    <t>Clara Velazco 12/7/25</t>
  </si>
  <si>
    <t>Brandon Pena</t>
  </si>
  <si>
    <t>Fernando Rocha 12/11/25</t>
  </si>
  <si>
    <t>Ma Laura Salinas</t>
  </si>
  <si>
    <t>Fernando Rocha 12/12/25</t>
  </si>
  <si>
    <t xml:space="preserve">Catalina Vasquez </t>
  </si>
  <si>
    <t>Llyod Hernandez</t>
  </si>
  <si>
    <t>Riesney Campos R-1/3/24</t>
  </si>
  <si>
    <t>Daniel Orozco Ramos 11/13/23</t>
  </si>
  <si>
    <t>Jose Morales</t>
  </si>
  <si>
    <t>Timeteo Rocha</t>
  </si>
  <si>
    <t>Gloria</t>
  </si>
  <si>
    <t>Alan</t>
  </si>
  <si>
    <t>Arleena</t>
  </si>
  <si>
    <t>Giovanni</t>
  </si>
  <si>
    <t>Brian Crusoe</t>
  </si>
  <si>
    <t>Martha Hernandez</t>
  </si>
  <si>
    <t>Melesio Basilio</t>
  </si>
  <si>
    <t>Matt O'Rorke</t>
  </si>
  <si>
    <t>Emilia Basilio Sevilla</t>
  </si>
  <si>
    <t>Minerva L. Aviles Alba</t>
  </si>
  <si>
    <t>Felicitas Casas</t>
  </si>
  <si>
    <t>Juan Brizuela</t>
  </si>
  <si>
    <t xml:space="preserve">Daniel Orozco Ramos </t>
  </si>
  <si>
    <t>3rd Shift (2300-0700) 1st shift Plus OT</t>
  </si>
  <si>
    <t>3rd Shift (2300-0700) 2nd shift Plus OT</t>
  </si>
  <si>
    <t>Name</t>
  </si>
  <si>
    <t>Emp ID</t>
  </si>
  <si>
    <t>Joshua Perkins</t>
  </si>
  <si>
    <t>Richard Lowe</t>
  </si>
  <si>
    <t>Daniel Martinez</t>
  </si>
  <si>
    <t>Lorena Velasco-Ochoa</t>
  </si>
  <si>
    <t>Steven Peterson</t>
  </si>
  <si>
    <t>Angelina Childtaveep</t>
  </si>
  <si>
    <t>Kenneth Bryant</t>
  </si>
  <si>
    <t>Maria Graciano Reyes</t>
  </si>
  <si>
    <t>Hector Torres</t>
  </si>
  <si>
    <t>Genaro Delgado</t>
  </si>
  <si>
    <t>Brayan Rocha Mejia</t>
  </si>
  <si>
    <t>Fernando Rocha Hernandez</t>
  </si>
  <si>
    <t>Austin Tornow</t>
  </si>
  <si>
    <t>Milaida Dupairon Delgado</t>
  </si>
  <si>
    <t>Christopher Toney</t>
  </si>
  <si>
    <t>Paola Garcia Rodriguez</t>
  </si>
  <si>
    <t>Travis Currens</t>
  </si>
  <si>
    <t>Maria Rosaura Gonzalez</t>
  </si>
  <si>
    <t xml:space="preserve">Ulises Moreno </t>
  </si>
  <si>
    <t>Yelena Del Toro</t>
  </si>
  <si>
    <t>Maria Balcazar</t>
  </si>
  <si>
    <t>Elias Lara</t>
  </si>
  <si>
    <t>Anna Vazquez</t>
  </si>
  <si>
    <t>Jeremy White</t>
  </si>
  <si>
    <t>Neftali Belmonte</t>
  </si>
  <si>
    <t>Char Eubanks</t>
  </si>
  <si>
    <t>Eric Fletcher</t>
  </si>
  <si>
    <t>Mayra Cacique-Gonzalez</t>
  </si>
  <si>
    <t>Jose Carlos Perez</t>
  </si>
  <si>
    <t>Eduardo Rocha</t>
  </si>
  <si>
    <t>Francisco Calamaco Valle</t>
  </si>
  <si>
    <t>David (Jesus) Gonzalez</t>
  </si>
  <si>
    <t>Michael Albee</t>
  </si>
  <si>
    <t>Donald Gibson</t>
  </si>
  <si>
    <t>Travis Pagles</t>
  </si>
  <si>
    <t>Fiorella Belfiore Olavarria</t>
  </si>
  <si>
    <t>S</t>
  </si>
  <si>
    <t>Isaac Rosas</t>
  </si>
  <si>
    <t>Antonio Garcia</t>
  </si>
  <si>
    <t>Vidal Mancilla</t>
  </si>
  <si>
    <t>Arturo Landa</t>
  </si>
  <si>
    <t>Genesis Belmonte</t>
  </si>
  <si>
    <t>Kent Lamb</t>
  </si>
  <si>
    <t>Lloyd Hernandez</t>
  </si>
  <si>
    <t>Rodrigo Hernandez Penaran</t>
  </si>
  <si>
    <t>Juan Luna</t>
  </si>
  <si>
    <t>Marlon Powell</t>
  </si>
  <si>
    <t>Timoteo Rocha Hernandez</t>
  </si>
  <si>
    <t>Richard Mack</t>
  </si>
  <si>
    <t>William Rains</t>
  </si>
  <si>
    <t>Rufino Arguelles</t>
  </si>
  <si>
    <t>Vacation</t>
  </si>
  <si>
    <t>Manual Depal</t>
  </si>
  <si>
    <t>Catalina Vasquez</t>
  </si>
  <si>
    <t xml:space="preserve">Lorena Velasco  </t>
  </si>
  <si>
    <t>TR Shrink:</t>
  </si>
  <si>
    <t xml:space="preserve">Rufino Arguellas </t>
  </si>
  <si>
    <t xml:space="preserve">Angelina Munoz </t>
  </si>
  <si>
    <t xml:space="preserve">Vanessa Gonzalez Irma Sandoval </t>
  </si>
  <si>
    <t>Staffing Sheet 3rd shift</t>
  </si>
  <si>
    <t>12/15.25OZ_DM HARVEST WK CORN</t>
  </si>
  <si>
    <t>12/14.75OZ_DM HARVEST CREAMED CORN</t>
  </si>
  <si>
    <t>12/15.25OZ_DM TP V YNG SM SWT PEAS</t>
  </si>
  <si>
    <t>12/15.25OZ_DM SW CRN PBL&amp;RED</t>
  </si>
  <si>
    <t>1/12-15.25OZ_DM WK CORN</t>
  </si>
  <si>
    <t>1/8-15.25OZ_DM TP VYS SWT PEAS</t>
  </si>
  <si>
    <t>1/8-15OZ_DM SWEET PEAS</t>
  </si>
  <si>
    <t>6/28OZ_DM CUT GREEN 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</si>
</sst>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0"/>
  </numFmts>
  <fonts count="3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i/>
      <sz val="10"/>
      <color rgb="FF006100"/>
      <name val="Arial"/>
      <charset val="1"/>
    </font>
    <font>
      <b/>
      <sz val="11"/>
      <color rgb="FF9C0006"/>
      <name val="Calibri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Aptos"/>
      <family val="2"/>
      <charset val="1"/>
    </font>
    <font>
      <sz val="11"/>
      <color rgb="FF242424"/>
      <name val="Calibri"/>
      <family val="2"/>
      <charset val="1"/>
    </font>
    <font>
      <b/>
      <sz val="11"/>
      <color theme="0"/>
      <name val="Calibri"/>
      <family val="2"/>
      <charset val="1"/>
    </font>
    <font>
      <sz val="12"/>
      <color rgb="FF000000"/>
      <name val="Aptos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ptos"/>
      <family val="2"/>
    </font>
    <font>
      <sz val="11"/>
      <color rgb="FF242424"/>
      <name val="Calibri"/>
      <family val="2"/>
      <scheme val="minor"/>
    </font>
    <font>
      <sz val="12"/>
      <color rgb="FF000000"/>
      <name val="Aptos"/>
      <family val="2"/>
    </font>
    <font>
      <sz val="11"/>
      <color theme="1"/>
      <name val="Calibri"/>
      <family val="2"/>
    </font>
    <font>
      <b/>
      <sz val="10"/>
      <color rgb="FFFFFFFF"/>
      <name val="Arial"/>
    </font>
    <font>
      <b/>
      <sz val="10"/>
      <name val="Arial"/>
    </font>
    <font>
      <b/>
      <sz val="11"/>
      <color rgb="FFC00000"/>
      <name val="Arial"/>
    </font>
    <font>
      <i/>
      <sz val="10"/>
      <color rgb="FF006100"/>
      <name val="Arial"/>
    </font>
    <font>
      <b/>
      <sz val="14"/>
      <color rgb="FF1F4E79"/>
      <name val="Arial"/>
    </font>
  </fonts>
  <fills count="48">
    <fill>
      <patternFill patternType="none"/>
    </fill>
    <fill>
      <patternFill patternType="gray125"/>
    </fill>
    <fill>
      <patternFill patternType="solid">
        <fgColor rgb="FF1F4E79"/>
        <bgColor rgb="FF215C98"/>
      </patternFill>
    </fill>
    <fill>
      <patternFill patternType="solid">
        <fgColor rgb="FFD9E1F2"/>
        <bgColor rgb="FFDCE6F2"/>
      </patternFill>
    </fill>
    <fill>
      <patternFill patternType="solid">
        <fgColor rgb="FFCCE5FF"/>
        <bgColor rgb="FFD9E1F2"/>
      </patternFill>
    </fill>
    <fill>
      <patternFill patternType="solid">
        <fgColor rgb="FFFFC7CE"/>
        <bgColor rgb="FFFCD5B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E2EFDA"/>
        <bgColor rgb="FFDBEEF4"/>
      </patternFill>
    </fill>
    <fill>
      <patternFill patternType="solid">
        <fgColor rgb="FFFFFFFF"/>
        <bgColor rgb="FFFFF2CC"/>
      </patternFill>
    </fill>
    <fill>
      <patternFill patternType="solid">
        <fgColor rgb="FF44B3E1"/>
        <bgColor rgb="FF4D93D9"/>
      </patternFill>
    </fill>
    <fill>
      <patternFill patternType="solid">
        <fgColor rgb="FFA6A6A6"/>
        <bgColor rgb="FF95B3D7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9" tint="0.59987182226020086"/>
        <bgColor rgb="FFFFC7CE"/>
      </patternFill>
    </fill>
    <fill>
      <patternFill patternType="solid">
        <fgColor rgb="FFFFFF00"/>
        <bgColor rgb="FFFFC000"/>
      </patternFill>
    </fill>
    <fill>
      <patternFill patternType="solid">
        <fgColor theme="7" tint="0.59987182226020086"/>
        <bgColor rgb="FFD0D0D0"/>
      </patternFill>
    </fill>
    <fill>
      <patternFill patternType="solid">
        <fgColor theme="2" tint="-9.9978637043366805E-2"/>
        <bgColor rgb="FFD0D0D0"/>
      </patternFill>
    </fill>
    <fill>
      <patternFill patternType="solid">
        <fgColor theme="5" tint="0.39988402966399123"/>
        <bgColor rgb="FFA6A6A6"/>
      </patternFill>
    </fill>
    <fill>
      <patternFill patternType="solid">
        <fgColor theme="3" tint="0.49989318521683401"/>
        <bgColor rgb="FF4D93D9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6" tint="0.39988402966399123"/>
        <bgColor rgb="FFD0D0D0"/>
      </patternFill>
    </fill>
    <fill>
      <patternFill patternType="solid">
        <fgColor theme="4"/>
        <bgColor rgb="FF4D93D9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2CC"/>
      </patternFill>
    </fill>
    <fill>
      <patternFill patternType="solid">
        <fgColor rgb="FF1F4E79"/>
      </patternFill>
    </fill>
    <fill>
      <patternFill patternType="solid">
        <fgColor rgb="FF44B3E1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5117038483843"/>
        <bgColor indexed="65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1" fillId="0" borderId="0"/>
    <xf numFmtId="0" fontId="1" fillId="0" borderId="0"/>
    <xf numFmtId="0" fontId="31" fillId="0" borderId="0"/>
  </cellStyleXfs>
  <cellXfs count="199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vertical="top" wrapText="1"/>
    </xf>
    <xf numFmtId="0" fontId="7" fillId="5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left" vertical="center" wrapText="1"/>
    </xf>
    <xf numFmtId="1" fontId="5" fillId="0" borderId="0" xfId="0" applyNumberFormat="1" applyFont="1"/>
    <xf numFmtId="164" fontId="5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5" fontId="5" fillId="4" borderId="1" xfId="0" applyNumberFormat="1" applyFont="1" applyFill="1" applyBorder="1" applyAlignment="1">
      <alignment horizontal="left" vertical="center" wrapText="1"/>
    </xf>
    <xf numFmtId="165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top" wrapText="1"/>
    </xf>
    <xf numFmtId="1" fontId="0" fillId="4" borderId="1" xfId="0" applyNumberForma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vertical="top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66" fontId="0" fillId="0" borderId="0" xfId="0" applyNumberFormat="1"/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wrapText="1"/>
    </xf>
    <xf numFmtId="0" fontId="9" fillId="0" borderId="2" xfId="0" applyFont="1" applyBorder="1" applyAlignment="1">
      <alignment wrapText="1"/>
    </xf>
    <xf numFmtId="1" fontId="9" fillId="0" borderId="2" xfId="0" applyNumberFormat="1" applyFont="1" applyBorder="1" applyAlignment="1">
      <alignment wrapText="1"/>
    </xf>
    <xf numFmtId="1" fontId="9" fillId="0" borderId="0" xfId="0" applyNumberFormat="1" applyFont="1" applyAlignment="1">
      <alignment horizontal="center" vertical="center" wrapText="1"/>
    </xf>
    <xf numFmtId="9" fontId="9" fillId="0" borderId="2" xfId="0" applyNumberFormat="1" applyFont="1" applyBorder="1" applyAlignment="1">
      <alignment wrapText="1"/>
    </xf>
    <xf numFmtId="9" fontId="9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8" borderId="2" xfId="0" applyFont="1" applyFill="1" applyBorder="1" applyAlignment="1">
      <alignment wrapText="1"/>
    </xf>
    <xf numFmtId="9" fontId="6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3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8" fontId="0" fillId="0" borderId="0" xfId="0" applyNumberFormat="1"/>
    <xf numFmtId="1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20" fontId="0" fillId="4" borderId="1" xfId="0" applyNumberFormat="1" applyFill="1" applyBorder="1" applyAlignment="1">
      <alignment horizontal="left" vertical="center" wrapText="1"/>
    </xf>
    <xf numFmtId="20" fontId="0" fillId="0" borderId="0" xfId="0" applyNumberFormat="1"/>
    <xf numFmtId="1" fontId="0" fillId="0" borderId="0" xfId="0" applyNumberFormat="1"/>
    <xf numFmtId="14" fontId="9" fillId="0" borderId="2" xfId="0" applyNumberFormat="1" applyFont="1" applyBorder="1" applyAlignment="1">
      <alignment wrapText="1"/>
    </xf>
    <xf numFmtId="14" fontId="9" fillId="7" borderId="2" xfId="0" applyNumberFormat="1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9" fontId="9" fillId="7" borderId="2" xfId="0" applyNumberFormat="1" applyFont="1" applyFill="1" applyBorder="1" applyAlignment="1">
      <alignment horizontal="center" vertical="center" wrapText="1"/>
    </xf>
    <xf numFmtId="1" fontId="9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166" fontId="0" fillId="0" borderId="1" xfId="0" applyNumberFormat="1" applyBorder="1" applyAlignment="1">
      <alignment horizontal="left" vertical="center" wrapText="1"/>
    </xf>
    <xf numFmtId="0" fontId="14" fillId="11" borderId="12" xfId="0" applyFont="1" applyFill="1" applyBorder="1" applyAlignment="1">
      <alignment vertical="center"/>
    </xf>
    <xf numFmtId="14" fontId="14" fillId="11" borderId="13" xfId="0" applyNumberFormat="1" applyFont="1" applyFill="1" applyBorder="1" applyAlignment="1">
      <alignment vertical="center"/>
    </xf>
    <xf numFmtId="14" fontId="14" fillId="11" borderId="8" xfId="0" applyNumberFormat="1" applyFont="1" applyFill="1" applyBorder="1" applyAlignment="1">
      <alignment vertical="center"/>
    </xf>
    <xf numFmtId="0" fontId="16" fillId="0" borderId="15" xfId="0" applyFont="1" applyBorder="1"/>
    <xf numFmtId="0" fontId="16" fillId="0" borderId="16" xfId="0" applyFont="1" applyBorder="1"/>
    <xf numFmtId="14" fontId="16" fillId="0" borderId="17" xfId="0" applyNumberFormat="1" applyFont="1" applyBorder="1"/>
    <xf numFmtId="14" fontId="16" fillId="0" borderId="2" xfId="0" applyNumberFormat="1" applyFont="1" applyBorder="1"/>
    <xf numFmtId="0" fontId="16" fillId="0" borderId="18" xfId="0" applyFont="1" applyBorder="1"/>
    <xf numFmtId="0" fontId="0" fillId="0" borderId="2" xfId="0" applyBorder="1"/>
    <xf numFmtId="0" fontId="14" fillId="0" borderId="0" xfId="0" applyFont="1" applyAlignment="1">
      <alignment horizontal="center" vertical="center"/>
    </xf>
    <xf numFmtId="0" fontId="16" fillId="0" borderId="0" xfId="0" applyFont="1"/>
    <xf numFmtId="0" fontId="0" fillId="12" borderId="0" xfId="0" applyFill="1"/>
    <xf numFmtId="14" fontId="16" fillId="0" borderId="6" xfId="0" applyNumberFormat="1" applyFont="1" applyBorder="1"/>
    <xf numFmtId="0" fontId="16" fillId="0" borderId="9" xfId="0" applyFont="1" applyBorder="1"/>
    <xf numFmtId="0" fontId="16" fillId="0" borderId="2" xfId="0" applyFont="1" applyBorder="1"/>
    <xf numFmtId="0" fontId="16" fillId="9" borderId="2" xfId="0" applyFont="1" applyFill="1" applyBorder="1"/>
    <xf numFmtId="0" fontId="0" fillId="13" borderId="0" xfId="0" applyFill="1"/>
    <xf numFmtId="0" fontId="16" fillId="0" borderId="20" xfId="0" applyFont="1" applyBorder="1"/>
    <xf numFmtId="14" fontId="16" fillId="0" borderId="9" xfId="0" applyNumberFormat="1" applyFont="1" applyBorder="1"/>
    <xf numFmtId="0" fontId="16" fillId="14" borderId="2" xfId="0" applyFont="1" applyFill="1" applyBorder="1"/>
    <xf numFmtId="0" fontId="16" fillId="0" borderId="0" xfId="0" applyFont="1" applyAlignment="1">
      <alignment horizontal="center" vertical="center"/>
    </xf>
    <xf numFmtId="0" fontId="17" fillId="14" borderId="0" xfId="0" applyFont="1" applyFill="1"/>
    <xf numFmtId="0" fontId="0" fillId="15" borderId="0" xfId="0" applyFill="1"/>
    <xf numFmtId="0" fontId="16" fillId="0" borderId="5" xfId="0" applyFont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6" fillId="0" borderId="4" xfId="0" applyFont="1" applyBorder="1"/>
    <xf numFmtId="14" fontId="16" fillId="0" borderId="7" xfId="0" applyNumberFormat="1" applyFont="1" applyBorder="1"/>
    <xf numFmtId="0" fontId="16" fillId="0" borderId="7" xfId="0" applyFont="1" applyBorder="1"/>
    <xf numFmtId="0" fontId="16" fillId="15" borderId="2" xfId="0" applyFont="1" applyFill="1" applyBorder="1"/>
    <xf numFmtId="0" fontId="0" fillId="20" borderId="0" xfId="0" applyFill="1"/>
    <xf numFmtId="0" fontId="0" fillId="15" borderId="2" xfId="0" applyFill="1" applyBorder="1"/>
    <xf numFmtId="0" fontId="0" fillId="9" borderId="2" xfId="0" applyFill="1" applyBorder="1"/>
    <xf numFmtId="0" fontId="16" fillId="12" borderId="2" xfId="0" applyFont="1" applyFill="1" applyBorder="1"/>
    <xf numFmtId="14" fontId="16" fillId="0" borderId="5" xfId="0" applyNumberFormat="1" applyFont="1" applyBorder="1"/>
    <xf numFmtId="0" fontId="0" fillId="0" borderId="3" xfId="0" applyBorder="1"/>
    <xf numFmtId="14" fontId="16" fillId="0" borderId="3" xfId="0" applyNumberFormat="1" applyFont="1" applyBorder="1"/>
    <xf numFmtId="0" fontId="18" fillId="0" borderId="2" xfId="0" applyFont="1" applyBorder="1"/>
    <xf numFmtId="0" fontId="19" fillId="21" borderId="21" xfId="0" applyFont="1" applyFill="1" applyBorder="1"/>
    <xf numFmtId="0" fontId="0" fillId="22" borderId="21" xfId="0" applyFill="1" applyBorder="1"/>
    <xf numFmtId="0" fontId="0" fillId="0" borderId="21" xfId="0" applyBorder="1"/>
    <xf numFmtId="0" fontId="20" fillId="0" borderId="0" xfId="0" applyFont="1"/>
    <xf numFmtId="0" fontId="0" fillId="6" borderId="0" xfId="0" applyFill="1" applyAlignment="1">
      <alignment vertical="top" wrapText="1"/>
    </xf>
    <xf numFmtId="0" fontId="14" fillId="10" borderId="11" xfId="0" applyFont="1" applyFill="1" applyBorder="1" applyAlignment="1">
      <alignment horizontal="center"/>
    </xf>
    <xf numFmtId="0" fontId="15" fillId="10" borderId="14" xfId="0" applyFont="1" applyFill="1" applyBorder="1" applyAlignment="1">
      <alignment horizontal="center"/>
    </xf>
    <xf numFmtId="0" fontId="14" fillId="11" borderId="19" xfId="0" applyFont="1" applyFill="1" applyBorder="1" applyAlignment="1">
      <alignment horizontal="center" vertical="center"/>
    </xf>
    <xf numFmtId="0" fontId="16" fillId="26" borderId="2" xfId="0" applyFont="1" applyFill="1" applyBorder="1"/>
    <xf numFmtId="0" fontId="9" fillId="27" borderId="2" xfId="0" applyFont="1" applyFill="1" applyBorder="1" applyAlignment="1">
      <alignment wrapText="1"/>
    </xf>
    <xf numFmtId="0" fontId="16" fillId="0" borderId="0" xfId="0" applyFont="1" applyBorder="1"/>
    <xf numFmtId="0" fontId="16" fillId="28" borderId="2" xfId="0" applyFont="1" applyFill="1" applyBorder="1"/>
    <xf numFmtId="0" fontId="0" fillId="26" borderId="2" xfId="0" applyFill="1" applyBorder="1"/>
    <xf numFmtId="0" fontId="16" fillId="29" borderId="2" xfId="0" applyFont="1" applyFill="1" applyBorder="1"/>
    <xf numFmtId="0" fontId="23" fillId="0" borderId="0" xfId="0" applyFont="1"/>
    <xf numFmtId="0" fontId="24" fillId="30" borderId="2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/>
    <xf numFmtId="0" fontId="0" fillId="27" borderId="0" xfId="0" applyFill="1"/>
    <xf numFmtId="0" fontId="25" fillId="31" borderId="11" xfId="2" applyFont="1" applyFill="1" applyBorder="1" applyAlignment="1">
      <alignment horizontal="center"/>
    </xf>
    <xf numFmtId="0" fontId="1" fillId="0" borderId="23" xfId="2" applyBorder="1"/>
    <xf numFmtId="0" fontId="1" fillId="0" borderId="0" xfId="2"/>
    <xf numFmtId="0" fontId="25" fillId="32" borderId="12" xfId="2" applyFont="1" applyFill="1" applyBorder="1" applyAlignment="1">
      <alignment vertical="center"/>
    </xf>
    <xf numFmtId="14" fontId="25" fillId="32" borderId="13" xfId="2" applyNumberFormat="1" applyFont="1" applyFill="1" applyBorder="1" applyAlignment="1">
      <alignment vertical="center"/>
    </xf>
    <xf numFmtId="14" fontId="25" fillId="32" borderId="8" xfId="2" applyNumberFormat="1" applyFont="1" applyFill="1" applyBorder="1" applyAlignment="1">
      <alignment vertical="center"/>
    </xf>
    <xf numFmtId="0" fontId="26" fillId="31" borderId="14" xfId="2" applyFont="1" applyFill="1" applyBorder="1" applyAlignment="1">
      <alignment horizontal="center"/>
    </xf>
    <xf numFmtId="0" fontId="1" fillId="0" borderId="24" xfId="2" applyBorder="1"/>
    <xf numFmtId="0" fontId="27" fillId="0" borderId="15" xfId="2" applyFont="1" applyBorder="1"/>
    <xf numFmtId="0" fontId="27" fillId="0" borderId="16" xfId="2" applyFont="1" applyBorder="1"/>
    <xf numFmtId="14" fontId="27" fillId="0" borderId="17" xfId="2" applyNumberFormat="1" applyFont="1" applyBorder="1"/>
    <xf numFmtId="14" fontId="27" fillId="0" borderId="2" xfId="2" applyNumberFormat="1" applyFont="1" applyBorder="1"/>
    <xf numFmtId="0" fontId="27" fillId="0" borderId="18" xfId="2" applyFont="1" applyBorder="1"/>
    <xf numFmtId="0" fontId="1" fillId="0" borderId="2" xfId="2" applyBorder="1"/>
    <xf numFmtId="0" fontId="25" fillId="32" borderId="25" xfId="2" applyFont="1" applyFill="1" applyBorder="1" applyAlignment="1">
      <alignment horizontal="center" vertical="center"/>
    </xf>
    <xf numFmtId="0" fontId="1" fillId="0" borderId="26" xfId="2" applyBorder="1"/>
    <xf numFmtId="0" fontId="25" fillId="0" borderId="0" xfId="2" applyFont="1" applyAlignment="1">
      <alignment horizontal="center" vertical="center"/>
    </xf>
    <xf numFmtId="0" fontId="27" fillId="0" borderId="0" xfId="2" applyFont="1"/>
    <xf numFmtId="0" fontId="1" fillId="41" borderId="0" xfId="2" applyFill="1"/>
    <xf numFmtId="14" fontId="27" fillId="0" borderId="6" xfId="2" applyNumberFormat="1" applyFont="1" applyBorder="1"/>
    <xf numFmtId="0" fontId="27" fillId="0" borderId="9" xfId="2" applyFont="1" applyBorder="1"/>
    <xf numFmtId="0" fontId="27" fillId="0" borderId="2" xfId="2" applyFont="1" applyBorder="1"/>
    <xf numFmtId="0" fontId="27" fillId="33" borderId="2" xfId="2" applyFont="1" applyFill="1" applyBorder="1"/>
    <xf numFmtId="0" fontId="1" fillId="42" borderId="0" xfId="2" applyFill="1"/>
    <xf numFmtId="0" fontId="27" fillId="0" borderId="20" xfId="2" applyFont="1" applyBorder="1"/>
    <xf numFmtId="14" fontId="27" fillId="0" borderId="9" xfId="2" applyNumberFormat="1" applyFont="1" applyBorder="1"/>
    <xf numFmtId="0" fontId="27" fillId="34" borderId="2" xfId="2" applyFont="1" applyFill="1" applyBorder="1"/>
    <xf numFmtId="0" fontId="27" fillId="0" borderId="0" xfId="2" applyFont="1" applyAlignment="1">
      <alignment horizontal="center" vertical="center"/>
    </xf>
    <xf numFmtId="0" fontId="27" fillId="35" borderId="2" xfId="2" applyFont="1" applyFill="1" applyBorder="1"/>
    <xf numFmtId="0" fontId="28" fillId="40" borderId="0" xfId="2" applyFont="1" applyFill="1"/>
    <xf numFmtId="0" fontId="27" fillId="36" borderId="2" xfId="2" applyFont="1" applyFill="1" applyBorder="1"/>
    <xf numFmtId="0" fontId="1" fillId="38" borderId="0" xfId="2" applyFill="1"/>
    <xf numFmtId="0" fontId="27" fillId="0" borderId="5" xfId="2" applyFont="1" applyBorder="1"/>
    <xf numFmtId="0" fontId="1" fillId="43" borderId="0" xfId="2" applyFill="1"/>
    <xf numFmtId="0" fontId="27" fillId="27" borderId="2" xfId="2" applyFont="1" applyFill="1" applyBorder="1"/>
    <xf numFmtId="0" fontId="27" fillId="37" borderId="2" xfId="2" applyFont="1" applyFill="1" applyBorder="1"/>
    <xf numFmtId="0" fontId="1" fillId="25" borderId="0" xfId="2" applyFill="1"/>
    <xf numFmtId="0" fontId="1" fillId="44" borderId="0" xfId="2" applyFill="1"/>
    <xf numFmtId="0" fontId="1" fillId="45" borderId="0" xfId="2" applyFill="1"/>
    <xf numFmtId="0" fontId="27" fillId="0" borderId="4" xfId="2" applyFont="1" applyBorder="1"/>
    <xf numFmtId="14" fontId="27" fillId="0" borderId="7" xfId="2" applyNumberFormat="1" applyFont="1" applyBorder="1"/>
    <xf numFmtId="0" fontId="27" fillId="0" borderId="7" xfId="2" applyFont="1" applyBorder="1"/>
    <xf numFmtId="0" fontId="27" fillId="38" borderId="2" xfId="2" applyFont="1" applyFill="1" applyBorder="1"/>
    <xf numFmtId="0" fontId="1" fillId="46" borderId="0" xfId="2" applyFill="1"/>
    <xf numFmtId="0" fontId="1" fillId="39" borderId="2" xfId="2" applyFill="1" applyBorder="1"/>
    <xf numFmtId="14" fontId="27" fillId="0" borderId="5" xfId="2" applyNumberFormat="1" applyFont="1" applyBorder="1"/>
    <xf numFmtId="0" fontId="1" fillId="0" borderId="3" xfId="2" applyBorder="1"/>
    <xf numFmtId="14" fontId="27" fillId="0" borderId="3" xfId="2" applyNumberFormat="1" applyFont="1" applyBorder="1"/>
    <xf numFmtId="0" fontId="29" fillId="0" borderId="2" xfId="2" applyFont="1" applyBorder="1"/>
    <xf numFmtId="0" fontId="1" fillId="33" borderId="2" xfId="2" applyFill="1" applyBorder="1"/>
    <xf numFmtId="0" fontId="22" fillId="24" borderId="27" xfId="2" applyFont="1" applyFill="1" applyBorder="1"/>
    <xf numFmtId="0" fontId="27" fillId="39" borderId="2" xfId="2" applyFont="1" applyFill="1" applyBorder="1"/>
    <xf numFmtId="0" fontId="1" fillId="47" borderId="27" xfId="2" applyFill="1" applyBorder="1"/>
    <xf numFmtId="0" fontId="1" fillId="0" borderId="27" xfId="2" applyBorder="1"/>
    <xf numFmtId="0" fontId="30" fillId="0" borderId="0" xfId="2" applyFont="1"/>
    <xf numFmtId="0" fontId="16" fillId="27" borderId="2" xfId="0" applyFont="1" applyFill="1" applyBorder="1"/>
    <xf numFmtId="0" fontId="9" fillId="33" borderId="2" xfId="0" applyFont="1" applyFill="1" applyBorder="1" applyAlignment="1">
      <alignment wrapText="1"/>
    </xf>
    <xf numFmtId="0" fontId="31" fillId="0" borderId="0" xfId="3"/>
    <xf numFmtId="0" fontId="2" fillId="0" borderId="2" xfId="3" applyFont="1" applyBorder="1" applyAlignment="1">
      <alignment wrapText="1"/>
    </xf>
    <xf numFmtId="9" fontId="2" fillId="0" borderId="2" xfId="3" applyNumberFormat="1" applyFont="1" applyBorder="1" applyAlignment="1">
      <alignment wrapText="1"/>
    </xf>
    <xf numFmtId="0" fontId="32" fillId="30" borderId="2" xfId="3" applyFont="1" applyFill="1" applyBorder="1" applyAlignment="1">
      <alignment horizontal="center" wrapText="1"/>
    </xf>
    <xf numFmtId="0" fontId="33" fillId="0" borderId="0" xfId="3" applyFont="1"/>
    <xf numFmtId="0" fontId="34" fillId="0" borderId="0" xfId="3" applyFont="1"/>
    <xf numFmtId="0" fontId="35" fillId="0" borderId="0" xfId="3" applyFont="1"/>
    <xf numFmtId="14" fontId="35" fillId="0" borderId="0" xfId="3" applyNumberFormat="1" applyFont="1"/>
    <xf numFmtId="0" fontId="31" fillId="0" borderId="0" xfId="3"/>
    <xf numFmtId="0" fontId="36" fillId="0" borderId="0" xfId="3" applyFont="1"/>
    <xf numFmtId="0" fontId="2" fillId="23" borderId="2" xfId="3" applyFont="1" applyFill="1" applyBorder="1" applyAlignment="1">
      <alignment wrapText="1"/>
    </xf>
    <xf numFmtId="9" fontId="2" fillId="23" borderId="2" xfId="3" applyNumberFormat="1" applyFont="1" applyFill="1" applyBorder="1" applyAlignment="1">
      <alignment wrapText="1"/>
    </xf>
  </cellXfs>
  <cellStyles count="4">
    <cellStyle name="Normal" xfId="0" builtinId="0"/>
    <cellStyle name="Normal 2" xfId="1" xr:uid="{00000000-0005-0000-0000-000006000000}"/>
    <cellStyle name="Normal 2 2" xfId="3" xr:uid="{CBA01F97-CCC9-4298-A220-CEDE3ABC32B7}"/>
    <cellStyle name="Normal 3" xfId="2" xr:uid="{255972E0-D684-4BBB-A9B1-8D92977DBD77}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border diagonalUp="0" diagonalDown="0" outline="0">
        <left/>
        <right/>
        <top style="thin">
          <color indexed="64"/>
        </top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CE6F2"/>
      <rgbColor rgb="FF9C0006"/>
      <rgbColor rgb="FF006100"/>
      <rgbColor rgb="FF000080"/>
      <rgbColor rgb="FFD9E1F2"/>
      <rgbColor rgb="FF800080"/>
      <rgbColor rgb="FF008080"/>
      <rgbColor rgb="FFCCC1DA"/>
      <rgbColor rgb="FF808080"/>
      <rgbColor rgb="FF71A1DC"/>
      <rgbColor rgb="FF993366"/>
      <rgbColor rgb="FFFFF2CC"/>
      <rgbColor rgb="FFDBEEF4"/>
      <rgbColor rgb="FF660066"/>
      <rgbColor rgb="FFD99694"/>
      <rgbColor rgb="FF215C98"/>
      <rgbColor rgb="FFD0D0D0"/>
      <rgbColor rgb="FF000080"/>
      <rgbColor rgb="FFFF00FF"/>
      <rgbColor rgb="FFFCE4D6"/>
      <rgbColor rgb="FFE2EFDA"/>
      <rgbColor rgb="FF800080"/>
      <rgbColor rgb="FFC00000"/>
      <rgbColor rgb="FF008080"/>
      <rgbColor rgb="FF0000FF"/>
      <rgbColor rgb="FF00CCFF"/>
      <rgbColor rgb="FFCCE5FF"/>
      <rgbColor rgb="FFC6EFCE"/>
      <rgbColor rgb="FFFFEB9C"/>
      <rgbColor rgb="FF95B3D7"/>
      <rgbColor rgb="FFFFC7CE"/>
      <rgbColor rgb="FFDDD9C3"/>
      <rgbColor rgb="FFFCD5B5"/>
      <rgbColor rgb="FF4D93D9"/>
      <rgbColor rgb="FF44B3E1"/>
      <rgbColor rgb="FFC3D69B"/>
      <rgbColor rgb="FFFFC000"/>
      <rgbColor rgb="FFF2DCDB"/>
      <rgbColor rgb="FFFF6600"/>
      <rgbColor rgb="FF4F81BD"/>
      <rgbColor rgb="FFA6A6A6"/>
      <rgbColor rgb="FF003366"/>
      <rgbColor rgb="FF00B050"/>
      <rgbColor rgb="FF003300"/>
      <rgbColor rgb="FF333300"/>
      <rgbColor rgb="FF993300"/>
      <rgbColor rgb="FF993366"/>
      <rgbColor rgb="FF1F4E7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2BD8C-D292-49CB-8E1B-9DA69A1F4F49}" name="Table165557596163656769717577818385899395107109113" displayName="Table165557596163656769717577818385899395107109113" ref="P31:S41">
  <autoFilter ref="P31:S41" xr:uid="{00000000-0009-0000-0100-000001000000}"/>
  <tableColumns count="4">
    <tableColumn id="1" xr3:uid="{428053DA-C02D-4C06-9868-87E3D9F9BA0E}" name="Vacation Day:"/>
    <tableColumn id="2" xr3:uid="{DAF0B017-BB03-4948-B9B1-F29B1EA070DC}" name="Call in:"/>
    <tableColumn id="3" xr3:uid="{B92301F6-94D9-4D27-9BAE-2AC3764A4558}" name="FMLA"/>
    <tableColumn id="5" xr3:uid="{D0E9986F-C17A-41EE-A150-FB3139F05156}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F56BD-4E76-4537-9EC1-9ED02D7DFD6C}" name="Table2112428323417183942436404175658606264666870727678828486909496108110114" displayName="Table2112428323417183942436404175658606264666870727678828486909496108110114" ref="P1:U26">
  <autoFilter ref="P1:U26" xr:uid="{5DCEBE7D-2590-4D53-A30A-A8942D118C19}"/>
  <tableColumns count="6">
    <tableColumn id="1" xr3:uid="{A4A164E4-9685-4D48-AE55-1E64A2D54A00}" name="CA needed"/>
    <tableColumn id="2" xr3:uid="{9D40B0BC-DDD6-49B9-A802-BA00BE2F8C22}" name="Names"/>
    <tableColumn id="5" xr3:uid="{1E113834-4900-4EE9-9AD7-452C15CC1E96}" name="Off" dataDxfId="8"/>
    <tableColumn id="4" xr3:uid="{F2E1A84C-44E4-40C2-89EB-2D9B86BB2001}" name="Back" dataDxfId="7"/>
    <tableColumn id="3" xr3:uid="{24BC0578-7E95-4FBD-9B5C-03BC45A25C2A}" name="Back2"/>
    <tableColumn id="6" xr3:uid="{ACE9A7E7-E7CA-4385-80F9-6596C7C880CA}" name="Typ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showGridLines="0" zoomScaleNormal="100" workbookViewId="0">
      <pane ySplit="10" topLeftCell="A11" activePane="bottomLeft" state="frozen"/>
      <selection pane="bottomLeft" activeCell="A7" sqref="A7:L8"/>
    </sheetView>
  </sheetViews>
  <sheetFormatPr defaultColWidth="8.7109375" defaultRowHeight="15" x14ac:dyDescent="0.25"/>
  <cols>
    <col min="1" max="1" width="12" customWidth="1"/>
    <col min="2" max="2" width="22" customWidth="1"/>
    <col min="3" max="3" width="28" customWidth="1"/>
    <col min="4" max="4" width="18" customWidth="1"/>
    <col min="5" max="5" width="22" customWidth="1"/>
    <col min="6" max="7" width="12" customWidth="1"/>
    <col min="8" max="8" width="28" customWidth="1"/>
    <col min="9" max="9" width="20.42578125" customWidth="1"/>
    <col min="10" max="10" width="26.42578125" customWidth="1"/>
    <col min="11" max="11" width="28" customWidth="1"/>
    <col min="12" max="12" width="24" customWidth="1"/>
    <col min="13" max="13" width="13" hidden="1" customWidth="1"/>
    <col min="14" max="14" width="14" customWidth="1"/>
    <col min="15" max="15" width="10" customWidth="1"/>
    <col min="16" max="16" width="9" customWidth="1"/>
    <col min="17" max="17" width="14" customWidth="1"/>
    <col min="18" max="18" width="10" customWidth="1"/>
    <col min="19" max="19" width="18" customWidth="1"/>
    <col min="20" max="22" width="13" customWidth="1"/>
  </cols>
  <sheetData>
    <row r="1" spans="1:22" ht="20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 x14ac:dyDescent="0.25">
      <c r="A2" s="5" t="s">
        <v>1</v>
      </c>
      <c r="B2" s="6">
        <v>46078</v>
      </c>
      <c r="D2" s="5" t="s">
        <v>2</v>
      </c>
      <c r="E2" s="7" t="s">
        <v>226</v>
      </c>
      <c r="G2" s="5" t="s">
        <v>3</v>
      </c>
      <c r="H2" s="7" t="s">
        <v>348</v>
      </c>
      <c r="K2" s="5" t="s">
        <v>4</v>
      </c>
      <c r="L2" s="7" t="s">
        <v>5</v>
      </c>
      <c r="N2" s="5" t="s">
        <v>6</v>
      </c>
      <c r="O2" s="8">
        <f>SUM($F$11:$F$15)</f>
        <v>0</v>
      </c>
      <c r="P2" s="9"/>
      <c r="Q2" s="5" t="s">
        <v>7</v>
      </c>
      <c r="R2" s="10" t="str">
        <f>IFERROR(SUMPRODUCT($G$11:$G$15,$F$11:$F$15)/SUM($F$11:$F$15),"")</f>
        <v/>
      </c>
      <c r="S2" s="10"/>
      <c r="T2" s="5" t="s">
        <v>8</v>
      </c>
      <c r="U2" s="8">
        <v>480</v>
      </c>
    </row>
    <row r="3" spans="1:22" ht="30" customHeight="1" x14ac:dyDescent="0.25">
      <c r="A3" s="5" t="s">
        <v>9</v>
      </c>
      <c r="B3" s="11">
        <v>45</v>
      </c>
      <c r="D3" s="5" t="s">
        <v>10</v>
      </c>
      <c r="E3" s="11">
        <v>38</v>
      </c>
      <c r="G3" s="5" t="s">
        <v>11</v>
      </c>
      <c r="H3" s="7">
        <f>IF(OR($B$3="",$E$3=""),"",$B$3-$E$3)</f>
        <v>7</v>
      </c>
      <c r="P3" s="13"/>
      <c r="Q3" s="5" t="s">
        <v>13</v>
      </c>
      <c r="R3" s="12">
        <f>$T$6</f>
        <v>0</v>
      </c>
      <c r="S3" s="12"/>
    </row>
    <row r="5" spans="1:22" ht="15" customHeight="1" x14ac:dyDescent="0.25">
      <c r="A5" s="3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N5" s="3" t="s">
        <v>15</v>
      </c>
      <c r="O5" s="3"/>
      <c r="P5" s="3"/>
      <c r="Q5" s="3"/>
      <c r="R5" s="3"/>
      <c r="S5" s="3"/>
      <c r="T5" s="3"/>
      <c r="U5" s="3"/>
      <c r="V5" s="3"/>
    </row>
    <row r="6" spans="1:22" ht="15" customHeight="1" x14ac:dyDescent="0.25">
      <c r="N6" s="5" t="s">
        <v>16</v>
      </c>
      <c r="O6" s="7">
        <f>COUNTIF($R$11:$R$30,"Y")</f>
        <v>0</v>
      </c>
      <c r="Q6" s="5" t="s">
        <v>17</v>
      </c>
      <c r="R6" s="7">
        <f>COUNTIF($R$11:$R$30,"N")</f>
        <v>0</v>
      </c>
    </row>
    <row r="7" spans="1:22" ht="36" customHeight="1" x14ac:dyDescent="0.25">
      <c r="A7" s="2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22" ht="3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10" spans="1:22" ht="30" customHeight="1" x14ac:dyDescent="0.25">
      <c r="A10" s="14" t="s">
        <v>19</v>
      </c>
      <c r="B10" s="14" t="s">
        <v>20</v>
      </c>
      <c r="C10" s="14" t="s">
        <v>21</v>
      </c>
      <c r="D10" s="14" t="s">
        <v>22</v>
      </c>
      <c r="E10" s="14" t="s">
        <v>23</v>
      </c>
      <c r="F10" s="14" t="s">
        <v>24</v>
      </c>
      <c r="G10" s="14" t="s">
        <v>25</v>
      </c>
      <c r="H10" s="14" t="s">
        <v>26</v>
      </c>
      <c r="I10" s="14" t="s">
        <v>27</v>
      </c>
      <c r="J10" s="14" t="s">
        <v>28</v>
      </c>
    </row>
    <row r="11" spans="1:22" ht="15" customHeight="1" x14ac:dyDescent="0.25">
      <c r="A11" s="15">
        <v>1</v>
      </c>
      <c r="B11" s="11" t="str">
        <f>IFERROR(#REF!,"")</f>
        <v/>
      </c>
      <c r="C11" s="16"/>
      <c r="D11" s="17" t="str">
        <f>IFERROR(#REF!,"")</f>
        <v/>
      </c>
      <c r="E11" s="18"/>
      <c r="F11" s="18"/>
      <c r="G11" s="19"/>
      <c r="H11" s="18"/>
      <c r="I11" s="20"/>
      <c r="J11" s="20"/>
    </row>
    <row r="12" spans="1:22" ht="15" customHeight="1" x14ac:dyDescent="0.25">
      <c r="A12" s="15">
        <v>2</v>
      </c>
      <c r="B12" s="11" t="str">
        <f>IFERROR(#REF!,"")</f>
        <v/>
      </c>
      <c r="C12" s="16"/>
      <c r="D12" s="17" t="str">
        <f>IFERROR(#REF!,"")</f>
        <v/>
      </c>
      <c r="E12" s="18"/>
      <c r="F12" s="18"/>
      <c r="G12" s="19"/>
      <c r="H12" s="18"/>
      <c r="I12" s="20"/>
      <c r="J12" s="20"/>
    </row>
    <row r="13" spans="1:22" ht="15" customHeight="1" x14ac:dyDescent="0.25">
      <c r="A13" s="15">
        <v>3</v>
      </c>
      <c r="B13" s="11" t="str">
        <f>IFERROR(#REF!,"")</f>
        <v/>
      </c>
      <c r="C13" s="16"/>
      <c r="D13" s="17" t="str">
        <f>IFERROR(#REF!,"")</f>
        <v/>
      </c>
      <c r="E13" s="18"/>
      <c r="F13" s="18"/>
      <c r="G13" s="19"/>
      <c r="H13" s="18"/>
      <c r="I13" s="20"/>
      <c r="J13" s="20"/>
    </row>
    <row r="14" spans="1:22" ht="15" customHeight="1" x14ac:dyDescent="0.25">
      <c r="A14" s="15">
        <v>4</v>
      </c>
      <c r="B14" s="11" t="str">
        <f>IFERROR(#REF!,"")</f>
        <v/>
      </c>
      <c r="C14" s="16"/>
      <c r="D14" s="17" t="str">
        <f>IFERROR(#REF!,"")</f>
        <v/>
      </c>
      <c r="E14" s="18"/>
      <c r="F14" s="18"/>
      <c r="G14" s="19"/>
      <c r="H14" s="18"/>
      <c r="I14" s="20"/>
      <c r="J14" s="20"/>
    </row>
    <row r="15" spans="1:22" ht="15" customHeight="1" x14ac:dyDescent="0.25">
      <c r="A15" s="15">
        <v>5</v>
      </c>
      <c r="B15" s="11" t="str">
        <f>IFERROR(#REF!,"")</f>
        <v/>
      </c>
      <c r="C15" s="16"/>
      <c r="D15" s="17" t="str">
        <f>IFERROR(#REF!,"")</f>
        <v/>
      </c>
      <c r="E15" s="18"/>
      <c r="F15" s="18"/>
      <c r="G15" s="19"/>
      <c r="H15" s="18"/>
      <c r="I15" s="20"/>
      <c r="J15" s="20"/>
    </row>
    <row r="16" spans="1:22" ht="15" customHeight="1" x14ac:dyDescent="0.25">
      <c r="A16" s="1" t="s">
        <v>29</v>
      </c>
      <c r="B16" s="1"/>
      <c r="C16" s="1"/>
      <c r="D16" s="1"/>
      <c r="E16" s="14">
        <f>SUM(E11:E15)</f>
        <v>0</v>
      </c>
      <c r="F16" s="14">
        <f>SUM(F11:F15)</f>
        <v>0</v>
      </c>
      <c r="G16" s="21" t="str">
        <f>IFERROR(SUMPRODUCT(G11:G15,F11:F15)/SUM(F11:F15),"")</f>
        <v/>
      </c>
      <c r="H16" s="14">
        <f>SUM(H11:H15)</f>
        <v>0</v>
      </c>
      <c r="I16" s="22"/>
      <c r="J16" s="22"/>
    </row>
    <row r="18" spans="1:13" ht="15" customHeight="1" x14ac:dyDescent="0.25">
      <c r="A18" s="3" t="s">
        <v>30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3" ht="30" customHeight="1" x14ac:dyDescent="0.25">
      <c r="A19" s="14" t="s">
        <v>31</v>
      </c>
      <c r="B19" s="14" t="s">
        <v>32</v>
      </c>
      <c r="C19" s="14" t="s">
        <v>19</v>
      </c>
      <c r="D19" s="14" t="s">
        <v>33</v>
      </c>
      <c r="E19" s="14" t="s">
        <v>34</v>
      </c>
      <c r="F19" s="14" t="s">
        <v>35</v>
      </c>
      <c r="G19" s="14" t="s">
        <v>36</v>
      </c>
    </row>
    <row r="20" spans="1:13" ht="15" customHeight="1" x14ac:dyDescent="0.25">
      <c r="A20" s="15">
        <v>1</v>
      </c>
      <c r="B20" s="18" t="str">
        <f>IF($M20="","",INDEX(EVENTS!$G$5:$G$204,MATCH($M20,EVENTS!$T$5:$T$204,0)))</f>
        <v/>
      </c>
      <c r="C20" s="16" t="str">
        <f>IF($M20="","",INDEX(EVENTS!$C$5:$C$204,MATCH($M20,EVENTS!$T$5:$T$204,0)))</f>
        <v/>
      </c>
      <c r="D20" s="16" t="str">
        <f>IF($M20="","",INDEX(EVENTS!$H$5:$H$204,MATCH($M20,EVENTS!$T$5:$T$204,0)))</f>
        <v/>
      </c>
      <c r="E20" s="20" t="str">
        <f>IF($M20="","",INDEX(EVENTS!$I$5:$I$204,MATCH($M20,EVENTS!$T$5:$T$204,0)))</f>
        <v/>
      </c>
      <c r="F20" s="16" t="str">
        <f>IF($M20="","",INDEX(EVENTS!$M$5:$M$204,MATCH($M20,EVENTS!$T$5:$T$204,0)))</f>
        <v/>
      </c>
      <c r="G20" s="20" t="str">
        <f>IF($M20="","",INDEX(EVENTS!$N$5:$N$204,MATCH($M20,EVENTS!$T$5:$T$204,0)))</f>
        <v/>
      </c>
      <c r="L20" s="23"/>
      <c r="M20" s="23" t="str">
        <f>IFERROR(LARGE(EVENTS!$T$5:$T$204,1),"")</f>
        <v/>
      </c>
    </row>
    <row r="21" spans="1:13" ht="15" customHeight="1" x14ac:dyDescent="0.25">
      <c r="A21" s="15">
        <v>2</v>
      </c>
      <c r="B21" s="18" t="str">
        <f>IF($M21="","",INDEX(EVENTS!$G$5:$G$204,MATCH($M21,EVENTS!$T$5:$T$204,0)))</f>
        <v/>
      </c>
      <c r="C21" s="16" t="str">
        <f>IF($M21="","",INDEX(EVENTS!$C$5:$C$204,MATCH($M21,EVENTS!$T$5:$T$204,0)))</f>
        <v/>
      </c>
      <c r="D21" s="16" t="str">
        <f>IF($M21="","",INDEX(EVENTS!$H$5:$H$204,MATCH($M21,EVENTS!$T$5:$T$204,0)))</f>
        <v/>
      </c>
      <c r="E21" s="20" t="str">
        <f>IF($M21="","",INDEX(EVENTS!$I$5:$I$204,MATCH($M21,EVENTS!$T$5:$T$204,0)))</f>
        <v/>
      </c>
      <c r="F21" s="16" t="str">
        <f>IF($M21="","",INDEX(EVENTS!$M$5:$M$204,MATCH($M21,EVENTS!$T$5:$T$204,0)))</f>
        <v/>
      </c>
      <c r="G21" s="20" t="str">
        <f>IF($M21="","",INDEX(EVENTS!$N$5:$N$204,MATCH($M21,EVENTS!$T$5:$T$204,0)))</f>
        <v/>
      </c>
      <c r="L21" s="23"/>
      <c r="M21" s="23" t="str">
        <f>IFERROR(LARGE(EVENTS!$T$5:$T$204,2),"")</f>
        <v/>
      </c>
    </row>
    <row r="22" spans="1:13" ht="15" customHeight="1" x14ac:dyDescent="0.25">
      <c r="A22" s="15">
        <v>3</v>
      </c>
      <c r="B22" s="18" t="str">
        <f>IF($M22="","",INDEX(EVENTS!$G$5:$G$204,MATCH($M22,EVENTS!$T$5:$T$204,0)))</f>
        <v/>
      </c>
      <c r="C22" s="16" t="str">
        <f>IF($M22="","",INDEX(EVENTS!$C$5:$C$204,MATCH($M22,EVENTS!$T$5:$T$204,0)))</f>
        <v/>
      </c>
      <c r="D22" s="16" t="str">
        <f>IF($M22="","",INDEX(EVENTS!$H$5:$H$204,MATCH($M22,EVENTS!$T$5:$T$204,0)))</f>
        <v/>
      </c>
      <c r="E22" s="20" t="str">
        <f>IF($M22="","",INDEX(EVENTS!$I$5:$I$204,MATCH($M22,EVENTS!$T$5:$T$204,0)))</f>
        <v/>
      </c>
      <c r="F22" s="16" t="str">
        <f>IF($M22="","",INDEX(EVENTS!$M$5:$M$204,MATCH($M22,EVENTS!$T$5:$T$204,0)))</f>
        <v/>
      </c>
      <c r="G22" s="20" t="str">
        <f>IF($M22="","",INDEX(EVENTS!$N$5:$N$204,MATCH($M22,EVENTS!$T$5:$T$204,0)))</f>
        <v/>
      </c>
      <c r="L22" s="23"/>
      <c r="M22" s="23" t="str">
        <f>IFERROR(LARGE(EVENTS!$T$5:$T$204,3),"")</f>
        <v/>
      </c>
    </row>
    <row r="23" spans="1:13" ht="15" customHeight="1" x14ac:dyDescent="0.25">
      <c r="A23" s="15">
        <v>4</v>
      </c>
      <c r="B23" s="18" t="str">
        <f>IF($M23="","",INDEX(EVENTS!$G$5:$G$204,MATCH($M23,EVENTS!$T$5:$T$204,0)))</f>
        <v/>
      </c>
      <c r="C23" s="16" t="str">
        <f>IF($M23="","",INDEX(EVENTS!$C$5:$C$204,MATCH($M23,EVENTS!$T$5:$T$204,0)))</f>
        <v/>
      </c>
      <c r="D23" s="16" t="str">
        <f>IF($M23="","",INDEX(EVENTS!$H$5:$H$204,MATCH($M23,EVENTS!$T$5:$T$204,0)))</f>
        <v/>
      </c>
      <c r="E23" s="20" t="str">
        <f>IF($M23="","",INDEX(EVENTS!$I$5:$I$204,MATCH($M23,EVENTS!$T$5:$T$204,0)))</f>
        <v/>
      </c>
      <c r="F23" s="16" t="str">
        <f>IF($M23="","",INDEX(EVENTS!$M$5:$M$204,MATCH($M23,EVENTS!$T$5:$T$204,0)))</f>
        <v/>
      </c>
      <c r="G23" s="20" t="str">
        <f>IF($M23="","",INDEX(EVENTS!$N$5:$N$204,MATCH($M23,EVENTS!$T$5:$T$204,0)))</f>
        <v/>
      </c>
      <c r="L23" s="23"/>
      <c r="M23" s="23" t="str">
        <f>IFERROR(LARGE(EVENTS!$T$5:$T$204,4),"")</f>
        <v/>
      </c>
    </row>
    <row r="24" spans="1:13" ht="15" customHeight="1" x14ac:dyDescent="0.25">
      <c r="A24" s="15">
        <v>5</v>
      </c>
      <c r="B24" s="18" t="str">
        <f>IF($M24="","",INDEX(EVENTS!$G$5:$G$204,MATCH($M24,EVENTS!$T$5:$T$204,0)))</f>
        <v/>
      </c>
      <c r="C24" s="16" t="str">
        <f>IF($M24="","",INDEX(EVENTS!$C$5:$C$204,MATCH($M24,EVENTS!$T$5:$T$204,0)))</f>
        <v/>
      </c>
      <c r="D24" s="16" t="str">
        <f>IF($M24="","",INDEX(EVENTS!$H$5:$H$204,MATCH($M24,EVENTS!$T$5:$T$204,0)))</f>
        <v/>
      </c>
      <c r="E24" s="20" t="str">
        <f>IF($M24="","",INDEX(EVENTS!$I$5:$I$204,MATCH($M24,EVENTS!$T$5:$T$204,0)))</f>
        <v/>
      </c>
      <c r="F24" s="16" t="str">
        <f>IF($M24="","",INDEX(EVENTS!$M$5:$M$204,MATCH($M24,EVENTS!$T$5:$T$204,0)))</f>
        <v/>
      </c>
      <c r="G24" s="20" t="str">
        <f>IF($M24="","",INDEX(EVENTS!$N$5:$N$204,MATCH($M24,EVENTS!$T$5:$T$204,0)))</f>
        <v/>
      </c>
      <c r="L24" s="23"/>
      <c r="M24" s="23" t="str">
        <f>IFERROR(LARGE(EVENTS!$T$5:$T$204,5),"")</f>
        <v/>
      </c>
    </row>
    <row r="26" spans="1:13" ht="15" customHeight="1" x14ac:dyDescent="0.25">
      <c r="A26" s="3" t="s">
        <v>37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3" ht="30" customHeight="1" x14ac:dyDescent="0.25">
      <c r="A27" s="14" t="s">
        <v>19</v>
      </c>
      <c r="B27" s="14" t="s">
        <v>38</v>
      </c>
      <c r="C27" s="14" t="s">
        <v>39</v>
      </c>
      <c r="D27" s="14" t="s">
        <v>40</v>
      </c>
      <c r="E27" s="14" t="s">
        <v>41</v>
      </c>
      <c r="F27" s="14" t="s">
        <v>42</v>
      </c>
      <c r="G27" s="14" t="s">
        <v>43</v>
      </c>
      <c r="H27" s="14" t="s">
        <v>44</v>
      </c>
      <c r="I27" s="14" t="s">
        <v>45</v>
      </c>
      <c r="J27" s="14" t="s">
        <v>46</v>
      </c>
      <c r="K27" s="14" t="s">
        <v>47</v>
      </c>
    </row>
    <row r="28" spans="1:13" ht="15" customHeight="1" x14ac:dyDescent="0.25">
      <c r="A28" s="15">
        <f>CHANGEOVERS!A6</f>
        <v>1</v>
      </c>
      <c r="B28" s="15" t="str">
        <f>CHANGEOVERS!B6</f>
        <v/>
      </c>
      <c r="C28" s="15">
        <f>CHANGEOVERS!C6</f>
        <v>0</v>
      </c>
      <c r="D28" s="24" t="str">
        <f>IFERROR(#REF!,"")</f>
        <v/>
      </c>
      <c r="E28" s="24" t="str">
        <f>IFERROR(#REF!,"")</f>
        <v/>
      </c>
      <c r="F28" s="15" t="str">
        <f>CHANGEOVERS!H6</f>
        <v/>
      </c>
      <c r="G28" s="15" t="str">
        <f>CHANGEOVERS!I6</f>
        <v/>
      </c>
      <c r="H28" s="15" t="str">
        <f>CHANGEOVERS!J6</f>
        <v/>
      </c>
      <c r="I28" s="15">
        <f>CHANGEOVERS!K6</f>
        <v>0</v>
      </c>
      <c r="J28" s="15">
        <f>CHANGEOVERS!L6</f>
        <v>0</v>
      </c>
      <c r="K28" s="15" t="e">
        <f>CHANGEOVERS!M6</f>
        <v>#REF!</v>
      </c>
    </row>
    <row r="29" spans="1:13" ht="15" customHeight="1" x14ac:dyDescent="0.25">
      <c r="A29" s="15">
        <f>CHANGEOVERS!A7</f>
        <v>2</v>
      </c>
      <c r="B29" s="15" t="str">
        <f>CHANGEOVERS!B7</f>
        <v/>
      </c>
      <c r="C29" s="15">
        <f>CHANGEOVERS!C7</f>
        <v>0</v>
      </c>
      <c r="D29" s="24" t="str">
        <f>IFERROR(#REF!,"")</f>
        <v/>
      </c>
      <c r="E29" s="24" t="str">
        <f>IFERROR(#REF!,"")</f>
        <v/>
      </c>
      <c r="F29" s="15" t="str">
        <f>CHANGEOVERS!H7</f>
        <v/>
      </c>
      <c r="G29" s="15" t="str">
        <f>CHANGEOVERS!I7</f>
        <v/>
      </c>
      <c r="H29" s="15" t="str">
        <f>CHANGEOVERS!J7</f>
        <v/>
      </c>
      <c r="I29" s="15">
        <f>CHANGEOVERS!K7</f>
        <v>0</v>
      </c>
      <c r="J29" s="15">
        <f>CHANGEOVERS!L7</f>
        <v>0</v>
      </c>
      <c r="K29" s="15" t="e">
        <f>CHANGEOVERS!M7</f>
        <v>#REF!</v>
      </c>
    </row>
    <row r="30" spans="1:13" ht="30" customHeight="1" x14ac:dyDescent="0.25">
      <c r="A30" s="15">
        <f>CHANGEOVERS!A8</f>
        <v>3</v>
      </c>
      <c r="B30" s="15" t="str">
        <f>CHANGEOVERS!B8</f>
        <v/>
      </c>
      <c r="C30" s="15">
        <f>CHANGEOVERS!C8</f>
        <v>0</v>
      </c>
      <c r="D30" s="24" t="str">
        <f>IFERROR(#REF!,"")</f>
        <v/>
      </c>
      <c r="E30" s="24" t="str">
        <f>IFERROR(#REF!,"")</f>
        <v/>
      </c>
      <c r="F30" s="15" t="str">
        <f>CHANGEOVERS!H8</f>
        <v/>
      </c>
      <c r="G30" s="15" t="str">
        <f>CHANGEOVERS!I8</f>
        <v/>
      </c>
      <c r="H30" s="15" t="str">
        <f>CHANGEOVERS!J8</f>
        <v/>
      </c>
      <c r="I30" s="15">
        <f>CHANGEOVERS!K8</f>
        <v>0</v>
      </c>
      <c r="J30" s="15">
        <f>CHANGEOVERS!L8</f>
        <v>0</v>
      </c>
      <c r="K30" s="15" t="e">
        <f>CHANGEOVERS!M8</f>
        <v>#REF!</v>
      </c>
    </row>
    <row r="31" spans="1:13" ht="30" customHeight="1" x14ac:dyDescent="0.25">
      <c r="A31" s="15">
        <f>CHANGEOVERS!A9</f>
        <v>4</v>
      </c>
      <c r="B31" s="15" t="str">
        <f>CHANGEOVERS!B9</f>
        <v/>
      </c>
      <c r="C31" s="15">
        <f>CHANGEOVERS!C9</f>
        <v>0</v>
      </c>
      <c r="D31" s="24" t="str">
        <f>IFERROR(#REF!,"")</f>
        <v/>
      </c>
      <c r="E31" s="24" t="str">
        <f>IFERROR(#REF!,"")</f>
        <v/>
      </c>
      <c r="F31" s="15" t="str">
        <f>CHANGEOVERS!H9</f>
        <v/>
      </c>
      <c r="G31" s="15" t="str">
        <f>CHANGEOVERS!I9</f>
        <v/>
      </c>
      <c r="H31" s="15" t="str">
        <f>CHANGEOVERS!J9</f>
        <v/>
      </c>
      <c r="I31" s="15">
        <f>CHANGEOVERS!K9</f>
        <v>0</v>
      </c>
      <c r="J31" s="15">
        <f>CHANGEOVERS!L9</f>
        <v>0</v>
      </c>
      <c r="K31" s="15" t="e">
        <f>CHANGEOVERS!M9</f>
        <v>#REF!</v>
      </c>
    </row>
    <row r="32" spans="1:13" ht="30" customHeight="1" x14ac:dyDescent="0.25">
      <c r="A32" s="15">
        <f>CHANGEOVERS!A10</f>
        <v>5</v>
      </c>
      <c r="B32" s="15" t="str">
        <f>CHANGEOVERS!B10</f>
        <v/>
      </c>
      <c r="C32" s="15">
        <f>CHANGEOVERS!C10</f>
        <v>0</v>
      </c>
      <c r="D32" s="24" t="str">
        <f>IFERROR(#REF!,"")</f>
        <v/>
      </c>
      <c r="E32" s="24" t="str">
        <f>IFERROR(#REF!,"")</f>
        <v/>
      </c>
      <c r="F32" s="15" t="str">
        <f>CHANGEOVERS!H10</f>
        <v/>
      </c>
      <c r="G32" s="15" t="str">
        <f>CHANGEOVERS!I10</f>
        <v/>
      </c>
      <c r="H32" s="15" t="str">
        <f>CHANGEOVERS!J10</f>
        <v/>
      </c>
      <c r="I32" s="15">
        <f>CHANGEOVERS!K10</f>
        <v>0</v>
      </c>
      <c r="J32" s="15">
        <f>CHANGEOVERS!L10</f>
        <v>0</v>
      </c>
      <c r="K32" s="15" t="e">
        <f>CHANGEOVERS!M10</f>
        <v>#REF!</v>
      </c>
    </row>
    <row r="33" spans="1:21" ht="1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21" ht="15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21" ht="90" customHeight="1" x14ac:dyDescent="0.25">
      <c r="J35" s="26"/>
      <c r="K35" s="26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ht="15" customHeight="1" x14ac:dyDescent="0.25">
      <c r="A36" s="37" t="s">
        <v>56</v>
      </c>
      <c r="B36" s="27"/>
      <c r="C36" s="27"/>
      <c r="D36" s="27"/>
      <c r="E36" s="27"/>
      <c r="F36" s="27"/>
      <c r="G36" s="27"/>
      <c r="H36" s="27"/>
      <c r="I36" s="27"/>
      <c r="J36" s="26"/>
      <c r="K36" s="26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:21" ht="15" customHeight="1" x14ac:dyDescent="0.25">
      <c r="A37" s="31" t="s">
        <v>19</v>
      </c>
      <c r="B37" s="31" t="s">
        <v>52</v>
      </c>
      <c r="C37" s="31" t="s">
        <v>57</v>
      </c>
      <c r="D37" s="31" t="s">
        <v>22</v>
      </c>
      <c r="E37" s="31" t="s">
        <v>58</v>
      </c>
      <c r="F37" s="31" t="s">
        <v>59</v>
      </c>
      <c r="G37" s="31" t="s">
        <v>60</v>
      </c>
      <c r="H37" s="31" t="s">
        <v>61</v>
      </c>
      <c r="I37" s="31" t="s">
        <v>62</v>
      </c>
      <c r="J37" s="26"/>
      <c r="K37" s="26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ht="15" customHeight="1" x14ac:dyDescent="0.25">
      <c r="A38" s="32">
        <v>1</v>
      </c>
      <c r="B38" s="38">
        <v>1</v>
      </c>
      <c r="C38" s="32" t="e">
        <f>#REF!</f>
        <v>#REF!</v>
      </c>
      <c r="D38" s="32" t="e">
        <f>#REF!</f>
        <v>#REF!</v>
      </c>
      <c r="E38" s="32" t="e">
        <f>#REF!</f>
        <v>#REF!</v>
      </c>
      <c r="F38" s="32" t="e">
        <f>#REF!</f>
        <v>#REF!</v>
      </c>
      <c r="G38" s="39" t="str">
        <f>IFERROR(INDEX(#REF!,MATCH(11,#REF!,0)),"")</f>
        <v/>
      </c>
      <c r="H38" s="40" t="e">
        <f>IF(#REF!=0,"",#REF!)</f>
        <v>#REF!</v>
      </c>
      <c r="I38" s="40" t="e">
        <f>IF(#REF!=0,"",#REF!)</f>
        <v>#REF!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:21" ht="15" customHeight="1" x14ac:dyDescent="0.25">
      <c r="A39" s="32">
        <v>2</v>
      </c>
      <c r="B39" s="38">
        <v>2</v>
      </c>
      <c r="C39" s="32" t="e">
        <f>#REF!</f>
        <v>#REF!</v>
      </c>
      <c r="D39" s="32" t="e">
        <f>#REF!</f>
        <v>#REF!</v>
      </c>
      <c r="E39" s="32" t="e">
        <f>#REF!</f>
        <v>#REF!</v>
      </c>
      <c r="F39" s="32" t="e">
        <f>#REF!</f>
        <v>#REF!</v>
      </c>
      <c r="G39" s="39" t="str">
        <f>IFERROR(INDEX(#REF!,MATCH(21,#REF!,0)),"")</f>
        <v/>
      </c>
      <c r="H39" s="40" t="e">
        <f>IF(#REF!=0,"",#REF!)</f>
        <v>#REF!</v>
      </c>
      <c r="I39" s="40" t="e">
        <f>IF(#REF!=0,"",#REF!)</f>
        <v>#REF!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:21" ht="15" customHeight="1" x14ac:dyDescent="0.25">
      <c r="A40" s="32">
        <v>4</v>
      </c>
      <c r="B40" s="38">
        <v>3</v>
      </c>
      <c r="C40" s="32" t="e">
        <f>#REF!</f>
        <v>#REF!</v>
      </c>
      <c r="D40" s="32" t="e">
        <f>#REF!</f>
        <v>#REF!</v>
      </c>
      <c r="E40" s="32" t="e">
        <f>#REF!</f>
        <v>#REF!</v>
      </c>
      <c r="F40" s="32" t="e">
        <f>#REF!</f>
        <v>#REF!</v>
      </c>
      <c r="G40" s="39" t="str">
        <f>IFERROR(INDEX(#REF!,MATCH(41,#REF!,0)),"")</f>
        <v/>
      </c>
      <c r="H40" s="40" t="e">
        <f>IF(#REF!=0,"",#REF!)</f>
        <v>#REF!</v>
      </c>
      <c r="I40" s="40" t="e">
        <f>IF(#REF!=0,"",#REF!)</f>
        <v>#REF!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:21" ht="15" customHeight="1" x14ac:dyDescent="0.25">
      <c r="A41" s="32">
        <v>3</v>
      </c>
      <c r="B41" s="38">
        <v>4</v>
      </c>
      <c r="C41" s="32" t="e">
        <f>#REF!</f>
        <v>#REF!</v>
      </c>
      <c r="D41" s="32" t="e">
        <f>#REF!</f>
        <v>#REF!</v>
      </c>
      <c r="E41" s="32" t="e">
        <f>#REF!</f>
        <v>#REF!</v>
      </c>
      <c r="F41" s="32" t="e">
        <f>#REF!</f>
        <v>#REF!</v>
      </c>
      <c r="G41" s="39" t="str">
        <f>IFERROR(INDEX(#REF!,MATCH(31,#REF!,0)),"")</f>
        <v/>
      </c>
      <c r="H41" s="40" t="e">
        <f>IF(#REF!=0,"",#REF!)</f>
        <v>#REF!</v>
      </c>
      <c r="I41" s="40" t="e">
        <f>IF(#REF!=0,"",#REF!)</f>
        <v>#REF!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:21" ht="30" customHeight="1" x14ac:dyDescent="0.25">
      <c r="A42" s="32">
        <v>5</v>
      </c>
      <c r="B42" s="38">
        <v>5</v>
      </c>
      <c r="C42" s="32" t="e">
        <f>#REF!</f>
        <v>#REF!</v>
      </c>
      <c r="D42" s="32" t="e">
        <f>#REF!</f>
        <v>#REF!</v>
      </c>
      <c r="E42" s="32" t="e">
        <f>#REF!</f>
        <v>#REF!</v>
      </c>
      <c r="F42" s="32" t="e">
        <f>#REF!</f>
        <v>#REF!</v>
      </c>
      <c r="G42" s="39" t="str">
        <f>IFERROR(INDEX(#REF!,MATCH(51,#REF!,0)),"")</f>
        <v/>
      </c>
      <c r="H42" s="40" t="e">
        <f>IF(#REF!=0,"",#REF!)</f>
        <v>#REF!</v>
      </c>
      <c r="I42" s="40" t="e">
        <f>IF(#REF!=0,"",#REF!)</f>
        <v>#REF!</v>
      </c>
      <c r="J42" s="26"/>
      <c r="K42" s="26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:21" ht="1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6"/>
      <c r="K43" s="26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:21" ht="15" customHeight="1" x14ac:dyDescent="0.25">
      <c r="A44" s="41" t="s">
        <v>63</v>
      </c>
      <c r="B44" s="27"/>
      <c r="C44" s="27"/>
      <c r="D44" s="27"/>
      <c r="E44" s="27"/>
      <c r="F44" s="27"/>
      <c r="G44" s="27"/>
      <c r="H44" s="27"/>
      <c r="I44" s="27"/>
      <c r="J44" s="26"/>
      <c r="K44" s="26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:21" ht="15" customHeight="1" x14ac:dyDescent="0.25">
      <c r="J45" s="26"/>
      <c r="K45" s="26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1" ht="15" customHeight="1" x14ac:dyDescent="0.25">
      <c r="J46" s="26"/>
      <c r="K46" s="26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:21" ht="15" customHeight="1" x14ac:dyDescent="0.25"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1" ht="15" customHeight="1" x14ac:dyDescent="0.25">
      <c r="J48" s="26"/>
      <c r="K48" s="26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0:21" ht="15" customHeight="1" x14ac:dyDescent="0.25">
      <c r="J49" s="26"/>
      <c r="K49" s="26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0:21" ht="15" customHeight="1" x14ac:dyDescent="0.25">
      <c r="J50" s="26"/>
      <c r="K50" s="26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0:21" ht="15" customHeight="1" x14ac:dyDescent="0.25">
      <c r="J51" s="26"/>
      <c r="K51" s="26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0:21" ht="15" customHeight="1" x14ac:dyDescent="0.25">
      <c r="J52" s="26"/>
      <c r="K52" s="26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0:21" ht="15" customHeight="1" x14ac:dyDescent="0.25">
      <c r="J53" s="26"/>
      <c r="K53" s="26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0:21" ht="15" customHeight="1" x14ac:dyDescent="0.25">
      <c r="J54" s="26"/>
      <c r="K54" s="26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0:21" ht="15" customHeight="1" x14ac:dyDescent="0.25">
      <c r="J55" s="26"/>
      <c r="K55" s="26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0:21" ht="15" customHeight="1" x14ac:dyDescent="0.25">
      <c r="J56" s="26"/>
      <c r="K56" s="26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0:21" ht="15" customHeight="1" x14ac:dyDescent="0.25">
      <c r="J57" s="26"/>
      <c r="K57" s="26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0:21" ht="15" customHeight="1" x14ac:dyDescent="0.25">
      <c r="J58" s="26"/>
      <c r="K58" s="26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0:21" ht="36" customHeight="1" x14ac:dyDescent="0.25">
      <c r="J59" s="26"/>
      <c r="K59" s="26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0:21" ht="36" customHeight="1" x14ac:dyDescent="0.25">
      <c r="J60" s="26"/>
      <c r="K60" s="26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0:21" ht="15" customHeight="1" x14ac:dyDescent="0.25">
      <c r="J61" s="26"/>
      <c r="K61" s="26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0:21" ht="15" customHeight="1" x14ac:dyDescent="0.25">
      <c r="J62" s="26"/>
      <c r="K62" s="26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0:21" ht="15" customHeight="1" x14ac:dyDescent="0.25">
      <c r="J63" s="26"/>
      <c r="K63" s="26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0:21" ht="15" customHeight="1" x14ac:dyDescent="0.25">
      <c r="J64" s="26"/>
      <c r="K64" s="26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1:21" ht="15" customHeight="1" x14ac:dyDescent="0.25">
      <c r="J65" s="26"/>
      <c r="K65" s="26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ht="15" customHeight="1" x14ac:dyDescent="0.25">
      <c r="J66" s="26"/>
      <c r="K66" s="26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:21" ht="15" customHeight="1" x14ac:dyDescent="0.25">
      <c r="J67" s="26"/>
      <c r="K67" s="26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:21" ht="15" customHeight="1" x14ac:dyDescent="0.25"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:21" ht="45" customHeight="1" x14ac:dyDescent="0.25"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1:21" ht="15" customHeight="1" x14ac:dyDescent="0.25"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:21" ht="15" customHeight="1" x14ac:dyDescent="0.25"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1:21" ht="15" customHeight="1" x14ac:dyDescent="0.25"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3" spans="1:21" ht="15" customHeight="1" x14ac:dyDescent="0.25"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ht="1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:21" ht="15" customHeight="1" x14ac:dyDescent="0.25"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:21" ht="23.25" customHeight="1" x14ac:dyDescent="0.25"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:21" ht="15" customHeight="1" x14ac:dyDescent="0.25"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</row>
    <row r="78" spans="1:21" ht="15" customHeight="1" x14ac:dyDescent="0.25"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spans="1:21" ht="15" customHeight="1" x14ac:dyDescent="0.25"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spans="1:21" ht="15" customHeight="1" x14ac:dyDescent="0.25"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:21" ht="15" customHeight="1" x14ac:dyDescent="0.25"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:21" ht="15" customHeight="1" x14ac:dyDescent="0.25"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:21" ht="15" customHeight="1" x14ac:dyDescent="0.25"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:21" ht="1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:21" ht="1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:21" ht="1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:21" ht="1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:21" ht="1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:21" ht="1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:21" ht="1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ht="1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:21" ht="1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:21" ht="1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:21" ht="1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:21" ht="1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:21" ht="1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:21" ht="1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:21" ht="1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:21" ht="1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:21" ht="1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</sheetData>
  <mergeCells count="7">
    <mergeCell ref="A18:L18"/>
    <mergeCell ref="A26:L26"/>
    <mergeCell ref="A1:V1"/>
    <mergeCell ref="A5:L5"/>
    <mergeCell ref="N5:V5"/>
    <mergeCell ref="A7:L8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3544-77F9-4CB5-92B6-0A156ABD3723}">
  <dimension ref="A1:Y36"/>
  <sheetViews>
    <sheetView tabSelected="1" workbookViewId="0">
      <selection activeCell="B3" sqref="B3"/>
    </sheetView>
  </sheetViews>
  <sheetFormatPr defaultColWidth="8.7109375" defaultRowHeight="15" x14ac:dyDescent="0.25"/>
  <cols>
    <col min="1" max="1" width="8" style="187" customWidth="1"/>
    <col min="2" max="2" width="11.140625" style="187" customWidth="1"/>
    <col min="3" max="3" width="14" style="187" customWidth="1"/>
    <col min="4" max="4" width="42" style="187" customWidth="1"/>
    <col min="5" max="5" width="12" style="187" customWidth="1"/>
    <col min="6" max="6" width="8" style="187" customWidth="1"/>
    <col min="7" max="8" width="14" style="187" customWidth="1"/>
    <col min="9" max="9" width="10" style="187" customWidth="1"/>
    <col min="10" max="10" width="6" style="187" customWidth="1"/>
    <col min="11" max="11" width="35" style="187" customWidth="1"/>
    <col min="12" max="12" width="22" style="187" customWidth="1"/>
    <col min="13" max="13" width="10" style="187" customWidth="1"/>
    <col min="14" max="15" width="8.7109375" style="187" customWidth="1"/>
    <col min="16" max="16" width="42.42578125" style="187" customWidth="1"/>
    <col min="17" max="17" width="8.7109375" style="187" customWidth="1"/>
    <col min="18" max="16384" width="8.7109375" style="187"/>
  </cols>
  <sheetData>
    <row r="1" spans="1:25" ht="17.25" customHeight="1" x14ac:dyDescent="0.25">
      <c r="A1" s="196" t="s">
        <v>64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25" ht="15" customHeight="1" x14ac:dyDescent="0.25">
      <c r="A2" s="187" t="s">
        <v>1</v>
      </c>
      <c r="B2" s="194">
        <v>46078</v>
      </c>
      <c r="D2" s="187" t="s">
        <v>2</v>
      </c>
      <c r="E2" s="193" t="s">
        <v>226</v>
      </c>
      <c r="G2" s="187" t="s">
        <v>65</v>
      </c>
      <c r="H2" s="192" t="s">
        <v>66</v>
      </c>
      <c r="N2" s="191" t="s">
        <v>19</v>
      </c>
      <c r="O2" s="191" t="s">
        <v>67</v>
      </c>
    </row>
    <row r="3" spans="1:25" ht="15" customHeight="1" x14ac:dyDescent="0.25">
      <c r="N3" s="187">
        <v>1</v>
      </c>
      <c r="O3" s="187">
        <v>1</v>
      </c>
    </row>
    <row r="4" spans="1:25" ht="34.5" customHeight="1" x14ac:dyDescent="0.25">
      <c r="A4" s="190" t="s">
        <v>19</v>
      </c>
      <c r="B4" s="190" t="s">
        <v>67</v>
      </c>
      <c r="C4" s="190" t="s">
        <v>68</v>
      </c>
      <c r="D4" s="190" t="s">
        <v>22</v>
      </c>
      <c r="E4" s="190" t="s">
        <v>6</v>
      </c>
      <c r="F4" s="190" t="s">
        <v>69</v>
      </c>
      <c r="G4" s="190" t="s">
        <v>70</v>
      </c>
      <c r="H4" s="190" t="s">
        <v>71</v>
      </c>
      <c r="I4" s="190" t="s">
        <v>60</v>
      </c>
      <c r="J4" s="190" t="s">
        <v>72</v>
      </c>
      <c r="K4" s="190" t="s">
        <v>47</v>
      </c>
      <c r="L4" s="190" t="s">
        <v>61</v>
      </c>
      <c r="M4" s="190" t="s">
        <v>73</v>
      </c>
      <c r="N4" s="187">
        <v>2</v>
      </c>
      <c r="O4" s="187">
        <v>2</v>
      </c>
    </row>
    <row r="5" spans="1:25" ht="15" customHeight="1" x14ac:dyDescent="0.25">
      <c r="A5" s="188">
        <v>1</v>
      </c>
      <c r="B5" s="188">
        <v>1</v>
      </c>
      <c r="C5" s="188" t="s">
        <v>74</v>
      </c>
      <c r="D5" s="188" t="s">
        <v>75</v>
      </c>
      <c r="E5" s="188">
        <v>10310</v>
      </c>
      <c r="F5" s="188">
        <v>2</v>
      </c>
      <c r="G5" s="188">
        <v>2203</v>
      </c>
      <c r="H5" s="188">
        <v>3700</v>
      </c>
      <c r="I5" s="189">
        <f>IF(OR(E5="TBD",E5="",E5=0),0,G5/E5)</f>
        <v>0.2136760426770126</v>
      </c>
      <c r="J5" s="188">
        <v>1</v>
      </c>
      <c r="K5" s="188"/>
      <c r="L5" s="188"/>
      <c r="M5" s="188" t="s">
        <v>76</v>
      </c>
      <c r="N5" s="187">
        <v>4</v>
      </c>
      <c r="O5" s="187">
        <v>3</v>
      </c>
      <c r="V5" s="187">
        <f>IF(A5="","",A5*100+J5)</f>
        <v>101</v>
      </c>
      <c r="W5" s="187">
        <f>IF(I5&gt;=1,0,1)</f>
        <v>1</v>
      </c>
      <c r="X5" s="187">
        <f>IF(W5=1,COUNTIFS($A$5:$A$16,A5,$V$5:$V$16,"&lt;="&amp;V5,$W$5:$W$16,1),"")</f>
        <v>1</v>
      </c>
      <c r="Y5" s="187">
        <f>IF(X5="","",A5*10+X5)</f>
        <v>11</v>
      </c>
    </row>
    <row r="6" spans="1:25" ht="15" customHeight="1" x14ac:dyDescent="0.25">
      <c r="A6" s="188">
        <v>2</v>
      </c>
      <c r="B6" s="188">
        <v>2</v>
      </c>
      <c r="C6" s="188" t="s">
        <v>77</v>
      </c>
      <c r="D6" s="188" t="s">
        <v>78</v>
      </c>
      <c r="E6" s="188">
        <v>70500</v>
      </c>
      <c r="F6" s="188">
        <v>3</v>
      </c>
      <c r="G6" s="188">
        <v>1768</v>
      </c>
      <c r="H6" s="188">
        <v>7800</v>
      </c>
      <c r="I6" s="189">
        <f>IF(OR(E6="TBD",E6="",E6=0),0,G6/E6)</f>
        <v>2.5078014184397163E-2</v>
      </c>
      <c r="J6" s="188">
        <v>1</v>
      </c>
      <c r="K6" s="188"/>
      <c r="L6" s="188"/>
      <c r="M6" s="188" t="s">
        <v>76</v>
      </c>
      <c r="N6" s="187">
        <v>3</v>
      </c>
      <c r="O6" s="187">
        <v>4</v>
      </c>
      <c r="V6" s="187">
        <f>IF(A6="","",A6*100+J6)</f>
        <v>201</v>
      </c>
      <c r="W6" s="187">
        <f>IF(I6&gt;=1,0,1)</f>
        <v>1</v>
      </c>
      <c r="X6" s="187">
        <f>IF(W6=1,COUNTIFS($A$5:$A$16,A6,$V$5:$V$16,"&lt;="&amp;V6,$W$5:$W$16,1),"")</f>
        <v>1</v>
      </c>
      <c r="Y6" s="187">
        <f>IF(X6="","",A6*10+X6)</f>
        <v>21</v>
      </c>
    </row>
    <row r="7" spans="1:25" ht="15" customHeight="1" x14ac:dyDescent="0.25">
      <c r="A7" s="188">
        <v>3</v>
      </c>
      <c r="B7" s="188">
        <v>4</v>
      </c>
      <c r="C7" s="188" t="s">
        <v>79</v>
      </c>
      <c r="D7" s="188" t="s">
        <v>80</v>
      </c>
      <c r="E7" s="188">
        <v>4590</v>
      </c>
      <c r="F7" s="188">
        <v>1</v>
      </c>
      <c r="G7" s="188">
        <v>1421</v>
      </c>
      <c r="H7" s="188">
        <v>6000</v>
      </c>
      <c r="I7" s="189">
        <f>IF(OR(E7="TBD",E7="",E7=0),0,G7/E7)</f>
        <v>0.30958605664488015</v>
      </c>
      <c r="J7" s="188">
        <v>1</v>
      </c>
      <c r="K7" s="188"/>
      <c r="L7" s="188"/>
      <c r="M7" s="188" t="s">
        <v>76</v>
      </c>
      <c r="N7" s="187">
        <v>5</v>
      </c>
      <c r="O7" s="187">
        <v>5</v>
      </c>
      <c r="V7" s="187">
        <f>IF(A7="","",A7*100+J7)</f>
        <v>301</v>
      </c>
      <c r="W7" s="187">
        <f>IF(I7&gt;=1,0,1)</f>
        <v>1</v>
      </c>
      <c r="X7" s="187">
        <f>IF(W7=1,COUNTIFS($A$5:$A$16,A7,$V$5:$V$16,"&lt;="&amp;V7,$W$5:$W$16,1),"")</f>
        <v>1</v>
      </c>
      <c r="Y7" s="187">
        <f>IF(X7="","",A7*10+X7)</f>
        <v>31</v>
      </c>
    </row>
    <row r="8" spans="1:25" ht="15" customHeight="1" x14ac:dyDescent="0.25">
      <c r="A8" s="188">
        <v>3</v>
      </c>
      <c r="B8" s="188">
        <v>4</v>
      </c>
      <c r="C8" s="188" t="s">
        <v>81</v>
      </c>
      <c r="D8" s="188" t="s">
        <v>82</v>
      </c>
      <c r="E8" s="188">
        <v>4800</v>
      </c>
      <c r="F8" s="188">
        <v>1</v>
      </c>
      <c r="G8" s="188">
        <v>0</v>
      </c>
      <c r="H8" s="188">
        <v>6000</v>
      </c>
      <c r="I8" s="189">
        <f>IF(OR(E8="TBD",E8="",E8=0),0,G8/E8)</f>
        <v>0</v>
      </c>
      <c r="J8" s="188">
        <v>2</v>
      </c>
      <c r="K8" s="188"/>
      <c r="L8" s="188"/>
      <c r="M8" s="188" t="s">
        <v>76</v>
      </c>
      <c r="V8" s="187">
        <f>IF(A8="","",A8*100+J8)</f>
        <v>302</v>
      </c>
      <c r="W8" s="187">
        <f>IF(I8&gt;=1,0,1)</f>
        <v>1</v>
      </c>
      <c r="X8" s="187">
        <f>IF(W8=1,COUNTIFS($A$5:$A$16,A8,$V$5:$V$16,"&lt;="&amp;V8,$W$5:$W$16,1),"")</f>
        <v>2</v>
      </c>
      <c r="Y8" s="187">
        <f>IF(X8="","",A8*10+X8)</f>
        <v>32</v>
      </c>
    </row>
    <row r="9" spans="1:25" ht="15" customHeight="1" x14ac:dyDescent="0.25">
      <c r="A9" s="188">
        <v>3</v>
      </c>
      <c r="B9" s="188">
        <v>4</v>
      </c>
      <c r="C9" s="188" t="s">
        <v>83</v>
      </c>
      <c r="D9" s="188" t="s">
        <v>84</v>
      </c>
      <c r="E9" s="188">
        <v>5000</v>
      </c>
      <c r="F9" s="188">
        <v>1</v>
      </c>
      <c r="G9" s="188">
        <v>0</v>
      </c>
      <c r="H9" s="188">
        <v>6000</v>
      </c>
      <c r="I9" s="189">
        <f>IF(OR(E9="TBD",E9="",E9=0),0,G9/E9)</f>
        <v>0</v>
      </c>
      <c r="J9" s="188">
        <v>3</v>
      </c>
      <c r="K9" s="188"/>
      <c r="L9" s="188"/>
      <c r="M9" s="188" t="s">
        <v>76</v>
      </c>
      <c r="V9" s="187">
        <f>IF(A9="","",A9*100+J9)</f>
        <v>303</v>
      </c>
      <c r="W9" s="187">
        <f>IF(I9&gt;=1,0,1)</f>
        <v>1</v>
      </c>
      <c r="X9" s="187">
        <f>IF(W9=1,COUNTIFS($A$5:$A$16,A9,$V$5:$V$16,"&lt;="&amp;V9,$W$5:$W$16,1),"")</f>
        <v>3</v>
      </c>
      <c r="Y9" s="187">
        <f>IF(X9="","",A9*10+X9)</f>
        <v>33</v>
      </c>
    </row>
    <row r="10" spans="1:25" ht="15" customHeight="1" x14ac:dyDescent="0.25">
      <c r="A10" s="188">
        <v>3</v>
      </c>
      <c r="B10" s="188">
        <v>4</v>
      </c>
      <c r="C10" s="188" t="s">
        <v>85</v>
      </c>
      <c r="D10" s="188" t="s">
        <v>86</v>
      </c>
      <c r="E10" s="188">
        <v>5990</v>
      </c>
      <c r="F10" s="188">
        <v>2</v>
      </c>
      <c r="G10" s="188">
        <v>0</v>
      </c>
      <c r="H10" s="188">
        <v>6000</v>
      </c>
      <c r="I10" s="189">
        <f>IF(OR(E10="TBD",E10="",E10=0),0,G10/E10)</f>
        <v>0</v>
      </c>
      <c r="J10" s="188">
        <v>4</v>
      </c>
      <c r="K10" s="188"/>
      <c r="L10" s="188"/>
      <c r="M10" s="188" t="s">
        <v>76</v>
      </c>
      <c r="V10" s="187">
        <f>IF(A10="","",A10*100+J10)</f>
        <v>304</v>
      </c>
      <c r="W10" s="187">
        <f>IF(I10&gt;=1,0,1)</f>
        <v>1</v>
      </c>
      <c r="X10" s="187">
        <f>IF(W10=1,COUNTIFS($A$5:$A$16,A10,$V$5:$V$16,"&lt;="&amp;V10,$W$5:$W$16,1),"")</f>
        <v>4</v>
      </c>
      <c r="Y10" s="187">
        <f>IF(X10="","",A10*10+X10)</f>
        <v>34</v>
      </c>
    </row>
    <row r="11" spans="1:25" ht="15" customHeight="1" x14ac:dyDescent="0.25">
      <c r="A11" s="188">
        <v>4</v>
      </c>
      <c r="B11" s="188">
        <v>3</v>
      </c>
      <c r="C11" s="188" t="s">
        <v>87</v>
      </c>
      <c r="D11" s="188" t="s">
        <v>88</v>
      </c>
      <c r="E11" s="188">
        <v>2095</v>
      </c>
      <c r="F11" s="188">
        <v>1</v>
      </c>
      <c r="G11" s="188">
        <v>938</v>
      </c>
      <c r="H11" s="188">
        <v>2940</v>
      </c>
      <c r="I11" s="189">
        <f>IF(OR(E11="TBD",E11="",E11=0),0,G11/E11)</f>
        <v>0.44773269689737472</v>
      </c>
      <c r="J11" s="188">
        <v>1</v>
      </c>
      <c r="K11" s="188"/>
      <c r="L11" s="188"/>
      <c r="M11" s="188" t="s">
        <v>76</v>
      </c>
      <c r="V11" s="187">
        <f>IF(A11="","",A11*100+J11)</f>
        <v>401</v>
      </c>
      <c r="W11" s="187">
        <f>IF(I11&gt;=1,0,1)</f>
        <v>1</v>
      </c>
      <c r="X11" s="187">
        <f>IF(W11=1,COUNTIFS($A$5:$A$16,A11,$V$5:$V$16,"&lt;="&amp;V11,$W$5:$W$16,1),"")</f>
        <v>1</v>
      </c>
      <c r="Y11" s="187">
        <f>IF(X11="","",A11*10+X11)</f>
        <v>41</v>
      </c>
    </row>
    <row r="12" spans="1:25" ht="15" customHeight="1" x14ac:dyDescent="0.25">
      <c r="A12" s="188">
        <v>4</v>
      </c>
      <c r="B12" s="188">
        <v>3</v>
      </c>
      <c r="C12" s="188" t="s">
        <v>89</v>
      </c>
      <c r="D12" s="188" t="s">
        <v>90</v>
      </c>
      <c r="E12" s="188">
        <v>6000</v>
      </c>
      <c r="F12" s="188">
        <v>2</v>
      </c>
      <c r="G12" s="188">
        <v>0</v>
      </c>
      <c r="H12" s="188">
        <v>2940</v>
      </c>
      <c r="I12" s="189">
        <f>IF(OR(E12="TBD",E12="",E12=0),0,G12/E12)</f>
        <v>0</v>
      </c>
      <c r="J12" s="188">
        <v>2</v>
      </c>
      <c r="K12" s="188"/>
      <c r="L12" s="188"/>
      <c r="M12" s="188" t="s">
        <v>76</v>
      </c>
      <c r="V12" s="187">
        <f>IF(A12="","",A12*100+J12)</f>
        <v>402</v>
      </c>
      <c r="W12" s="187">
        <f>IF(I12&gt;=1,0,1)</f>
        <v>1</v>
      </c>
      <c r="X12" s="187">
        <f>IF(W12=1,COUNTIFS($A$5:$A$16,A12,$V$5:$V$16,"&lt;="&amp;V12,$W$5:$W$16,1),"")</f>
        <v>2</v>
      </c>
      <c r="Y12" s="187">
        <f>IF(X12="","",A12*10+X12)</f>
        <v>42</v>
      </c>
    </row>
    <row r="13" spans="1:25" ht="15" customHeight="1" x14ac:dyDescent="0.25">
      <c r="A13" s="188">
        <v>4</v>
      </c>
      <c r="B13" s="188">
        <v>3</v>
      </c>
      <c r="C13" s="188" t="s">
        <v>91</v>
      </c>
      <c r="D13" s="188" t="s">
        <v>92</v>
      </c>
      <c r="E13" s="188">
        <v>325</v>
      </c>
      <c r="F13" s="188">
        <v>2</v>
      </c>
      <c r="G13" s="188">
        <v>0</v>
      </c>
      <c r="H13" s="188">
        <v>2940</v>
      </c>
      <c r="I13" s="189">
        <f>IF(OR(E13="TBD",E13="",E13=0),0,G13/E13)</f>
        <v>0</v>
      </c>
      <c r="J13" s="188">
        <v>3</v>
      </c>
      <c r="K13" s="188"/>
      <c r="L13" s="188"/>
      <c r="M13" s="188" t="s">
        <v>76</v>
      </c>
      <c r="V13" s="187">
        <f>IF(A13="","",A13*100+J13)</f>
        <v>403</v>
      </c>
      <c r="W13" s="187">
        <f>IF(I13&gt;=1,0,1)</f>
        <v>1</v>
      </c>
      <c r="X13" s="187">
        <f>IF(W13=1,COUNTIFS($A$5:$A$16,A13,$V$5:$V$16,"&lt;="&amp;V13,$W$5:$W$16,1),"")</f>
        <v>3</v>
      </c>
      <c r="Y13" s="187">
        <f>IF(X13="","",A13*10+X13)</f>
        <v>43</v>
      </c>
    </row>
    <row r="14" spans="1:25" ht="15" customHeight="1" x14ac:dyDescent="0.25">
      <c r="A14" s="188">
        <v>5</v>
      </c>
      <c r="B14" s="188">
        <v>5</v>
      </c>
      <c r="C14" s="188" t="s">
        <v>93</v>
      </c>
      <c r="D14" s="188" t="s">
        <v>94</v>
      </c>
      <c r="E14" s="188">
        <v>6700</v>
      </c>
      <c r="F14" s="188">
        <v>1</v>
      </c>
      <c r="G14" s="188">
        <v>4403</v>
      </c>
      <c r="H14" s="188">
        <v>5833</v>
      </c>
      <c r="I14" s="189">
        <f>IF(OR(E14="TBD",E14="",E14=0),0,G14/E14)</f>
        <v>0.65716417910447766</v>
      </c>
      <c r="J14" s="188">
        <v>1</v>
      </c>
      <c r="K14" s="188" t="s">
        <v>95</v>
      </c>
      <c r="L14" s="188"/>
      <c r="M14" s="188" t="s">
        <v>76</v>
      </c>
      <c r="V14" s="187">
        <f>IF(A14="","",A14*100+J14)</f>
        <v>501</v>
      </c>
      <c r="W14" s="187">
        <f>IF(I14&gt;=1,0,1)</f>
        <v>1</v>
      </c>
      <c r="X14" s="187">
        <f>IF(W14=1,COUNTIFS($A$5:$A$16,A14,$V$5:$V$16,"&lt;="&amp;V14,$W$5:$W$16,1),"")</f>
        <v>1</v>
      </c>
      <c r="Y14" s="187">
        <f>IF(X14="","",A14*10+X14)</f>
        <v>51</v>
      </c>
    </row>
    <row r="15" spans="1:25" ht="15" customHeight="1" x14ac:dyDescent="0.25">
      <c r="A15" s="188">
        <v>5</v>
      </c>
      <c r="B15" s="188">
        <v>5</v>
      </c>
      <c r="C15" s="188" t="s">
        <v>96</v>
      </c>
      <c r="D15" s="188" t="s">
        <v>97</v>
      </c>
      <c r="E15" s="188">
        <v>4500</v>
      </c>
      <c r="F15" s="188">
        <v>1</v>
      </c>
      <c r="G15" s="188">
        <v>0</v>
      </c>
      <c r="H15" s="188">
        <v>5833</v>
      </c>
      <c r="I15" s="189">
        <f>IF(OR(E15="TBD",E15="",E15=0),0,G15/E15)</f>
        <v>0</v>
      </c>
      <c r="J15" s="188">
        <v>2</v>
      </c>
      <c r="K15" s="188" t="s">
        <v>98</v>
      </c>
      <c r="L15" s="188"/>
      <c r="M15" s="188" t="s">
        <v>76</v>
      </c>
      <c r="V15" s="187">
        <f>IF(A15="","",A15*100+J15)</f>
        <v>502</v>
      </c>
      <c r="W15" s="187">
        <f>IF(I15&gt;=1,0,1)</f>
        <v>1</v>
      </c>
      <c r="X15" s="187">
        <f>IF(W15=1,COUNTIFS($A$5:$A$16,A15,$V$5:$V$16,"&lt;="&amp;V15,$W$5:$W$16,1),"")</f>
        <v>2</v>
      </c>
      <c r="Y15" s="187">
        <f>IF(X15="","",A15*10+X15)</f>
        <v>52</v>
      </c>
    </row>
    <row r="16" spans="1:25" ht="15" customHeight="1" x14ac:dyDescent="0.25">
      <c r="A16" s="197">
        <v>5</v>
      </c>
      <c r="B16" s="197">
        <v>5</v>
      </c>
      <c r="C16" s="197" t="s">
        <v>93</v>
      </c>
      <c r="D16" s="197" t="s">
        <v>94</v>
      </c>
      <c r="E16" s="197" t="s">
        <v>99</v>
      </c>
      <c r="F16" s="197">
        <v>1</v>
      </c>
      <c r="G16" s="197">
        <v>0</v>
      </c>
      <c r="H16" s="197">
        <v>5833</v>
      </c>
      <c r="I16" s="198">
        <f>IF(OR(E16="TBD",E16="",E16=0),0,G16/E16)</f>
        <v>0</v>
      </c>
      <c r="J16" s="197">
        <v>3</v>
      </c>
      <c r="K16" s="197" t="s">
        <v>100</v>
      </c>
      <c r="L16" s="197" t="s">
        <v>100</v>
      </c>
      <c r="M16" s="197"/>
      <c r="V16" s="187">
        <f>IF(A16="","",A16*100+J16)</f>
        <v>503</v>
      </c>
      <c r="W16" s="187">
        <f>IF(I16&gt;=1,0,1)</f>
        <v>1</v>
      </c>
      <c r="X16" s="187">
        <f>IF(W16=1,COUNTIFS($A$5:$A$16,A16,$V$5:$V$16,"&lt;="&amp;V16,$W$5:$W$16,1),"")</f>
        <v>3</v>
      </c>
      <c r="Y16" s="187">
        <f>IF(X16="","",A16*10+X16)</f>
        <v>53</v>
      </c>
    </row>
    <row r="18" spans="1:25" ht="17.25" customHeight="1" x14ac:dyDescent="0.25">
      <c r="A18" s="196" t="s">
        <v>64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</row>
    <row r="19" spans="1:25" ht="15" customHeight="1" x14ac:dyDescent="0.25">
      <c r="A19" s="187" t="s">
        <v>1</v>
      </c>
      <c r="B19" s="194">
        <v>46079</v>
      </c>
      <c r="D19" s="187" t="s">
        <v>2</v>
      </c>
      <c r="E19" s="193" t="s">
        <v>226</v>
      </c>
      <c r="G19" s="187" t="s">
        <v>65</v>
      </c>
      <c r="H19" s="192" t="s">
        <v>66</v>
      </c>
      <c r="N19" s="191"/>
      <c r="O19" s="191"/>
    </row>
    <row r="20" spans="1:25" ht="15" customHeight="1" x14ac:dyDescent="0.25"/>
    <row r="21" spans="1:25" ht="34.5" customHeight="1" x14ac:dyDescent="0.25">
      <c r="A21" s="190" t="s">
        <v>19</v>
      </c>
      <c r="B21" s="190" t="s">
        <v>67</v>
      </c>
      <c r="C21" s="190" t="s">
        <v>68</v>
      </c>
      <c r="D21" s="190" t="s">
        <v>22</v>
      </c>
      <c r="E21" s="190" t="s">
        <v>6</v>
      </c>
      <c r="F21" s="190" t="s">
        <v>69</v>
      </c>
      <c r="G21" s="190" t="s">
        <v>70</v>
      </c>
      <c r="H21" s="190" t="s">
        <v>71</v>
      </c>
      <c r="I21" s="190" t="s">
        <v>60</v>
      </c>
      <c r="J21" s="190" t="s">
        <v>72</v>
      </c>
      <c r="K21" s="190" t="s">
        <v>47</v>
      </c>
      <c r="L21" s="190" t="s">
        <v>61</v>
      </c>
      <c r="M21" s="190" t="s">
        <v>73</v>
      </c>
    </row>
    <row r="22" spans="1:25" ht="15" customHeight="1" x14ac:dyDescent="0.25">
      <c r="A22" s="188">
        <v>1</v>
      </c>
      <c r="B22" s="188">
        <v>1</v>
      </c>
      <c r="C22" s="188">
        <v>2005210</v>
      </c>
      <c r="D22" s="188" t="s">
        <v>75</v>
      </c>
      <c r="E22" s="188">
        <v>1315</v>
      </c>
      <c r="F22" s="188">
        <v>2</v>
      </c>
      <c r="G22" s="188">
        <v>0</v>
      </c>
      <c r="H22" s="188">
        <v>3700</v>
      </c>
      <c r="I22" s="189">
        <f>IF(OR(E22="TBD",E22="",E22=0),0,G22/E22)</f>
        <v>0</v>
      </c>
      <c r="J22" s="188">
        <v>1</v>
      </c>
      <c r="K22" s="188"/>
      <c r="L22" s="188"/>
      <c r="M22" s="188" t="s">
        <v>76</v>
      </c>
      <c r="V22" s="187">
        <f>IF(A22="","",A22*100+J22)</f>
        <v>101</v>
      </c>
      <c r="W22" s="187">
        <f>IF(I22&gt;=1,0,1)</f>
        <v>1</v>
      </c>
      <c r="X22" s="187">
        <f>IF(W22=1,COUNTIFS($A$22:$A$33,A22,$V$22:$V$33,"&lt;="&amp;V22,$W$22:$W$33,1),"")</f>
        <v>1</v>
      </c>
      <c r="Y22" s="187">
        <f>IF(X22="","",A22*10+X22)</f>
        <v>11</v>
      </c>
    </row>
    <row r="23" spans="1:25" ht="15" customHeight="1" x14ac:dyDescent="0.25">
      <c r="A23" s="188">
        <v>1</v>
      </c>
      <c r="B23" s="188">
        <v>1</v>
      </c>
      <c r="C23" s="188">
        <v>2005209</v>
      </c>
      <c r="D23" s="188" t="s">
        <v>428</v>
      </c>
      <c r="E23" s="188">
        <v>8780</v>
      </c>
      <c r="F23" s="188"/>
      <c r="G23" s="188">
        <v>0</v>
      </c>
      <c r="H23" s="188">
        <v>3700</v>
      </c>
      <c r="I23" s="189">
        <f>IF(OR(E23="TBD",E23="",E23=0),0,G23/E23)</f>
        <v>0</v>
      </c>
      <c r="J23" s="188">
        <v>2</v>
      </c>
      <c r="K23" s="188"/>
      <c r="L23" s="188"/>
      <c r="M23" s="188" t="s">
        <v>76</v>
      </c>
      <c r="V23" s="187">
        <f>IF(A23="","",A23*100+J23)</f>
        <v>102</v>
      </c>
      <c r="W23" s="187">
        <f>IF(I23&gt;=1,0,1)</f>
        <v>1</v>
      </c>
      <c r="X23" s="187">
        <f>IF(W23=1,COUNTIFS($A$22:$A$33,A23,$V$22:$V$33,"&lt;="&amp;V23,$W$22:$W$33,1),"")</f>
        <v>2</v>
      </c>
      <c r="Y23" s="187">
        <f>IF(X23="","",A23*10+X23)</f>
        <v>12</v>
      </c>
    </row>
    <row r="24" spans="1:25" ht="15" customHeight="1" x14ac:dyDescent="0.25">
      <c r="A24" s="188">
        <v>2</v>
      </c>
      <c r="B24" s="188">
        <v>2</v>
      </c>
      <c r="C24" s="188">
        <v>2000376</v>
      </c>
      <c r="D24" s="188" t="s">
        <v>78</v>
      </c>
      <c r="E24" s="188">
        <v>38940</v>
      </c>
      <c r="F24" s="188">
        <v>2</v>
      </c>
      <c r="G24" s="188">
        <v>0</v>
      </c>
      <c r="H24" s="188">
        <v>7800</v>
      </c>
      <c r="I24" s="189">
        <f>IF(OR(E24="TBD",E24="",E24=0),0,G24/E24)</f>
        <v>0</v>
      </c>
      <c r="J24" s="188">
        <v>1</v>
      </c>
      <c r="K24" s="188"/>
      <c r="L24" s="188"/>
      <c r="M24" s="188" t="s">
        <v>76</v>
      </c>
      <c r="V24" s="187">
        <f>IF(A24="","",A24*100+J24)</f>
        <v>201</v>
      </c>
      <c r="W24" s="187">
        <f>IF(I24&gt;=1,0,1)</f>
        <v>1</v>
      </c>
      <c r="X24" s="187">
        <f>IF(W24=1,COUNTIFS($A$22:$A$33,A24,$V$22:$V$33,"&lt;="&amp;V24,$W$22:$W$33,1),"")</f>
        <v>1</v>
      </c>
      <c r="Y24" s="187">
        <f>IF(X24="","",A24*10+X24)</f>
        <v>21</v>
      </c>
    </row>
    <row r="25" spans="1:25" ht="15" customHeight="1" x14ac:dyDescent="0.25">
      <c r="A25" s="188">
        <v>2</v>
      </c>
      <c r="B25" s="188">
        <v>2</v>
      </c>
      <c r="C25" s="188">
        <v>2000332</v>
      </c>
      <c r="D25" s="188" t="s">
        <v>427</v>
      </c>
      <c r="E25" s="188">
        <v>9750</v>
      </c>
      <c r="F25" s="188">
        <v>1</v>
      </c>
      <c r="G25" s="188">
        <v>0</v>
      </c>
      <c r="H25" s="188">
        <v>7800</v>
      </c>
      <c r="I25" s="189">
        <f>IF(OR(E25="TBD",E25="",E25=0),0,G25/E25)</f>
        <v>0</v>
      </c>
      <c r="J25" s="188">
        <v>2</v>
      </c>
      <c r="K25" s="188"/>
      <c r="L25" s="188"/>
      <c r="M25" s="188"/>
      <c r="V25" s="187">
        <f>IF(A25="","",A25*100+J25)</f>
        <v>202</v>
      </c>
      <c r="W25" s="187">
        <f>IF(I25&gt;=1,0,1)</f>
        <v>1</v>
      </c>
      <c r="X25" s="187">
        <f>IF(W25=1,COUNTIFS($A$22:$A$33,A25,$V$22:$V$33,"&lt;="&amp;V25,$W$22:$W$33,1),"")</f>
        <v>2</v>
      </c>
      <c r="Y25" s="187">
        <f>IF(X25="","",A25*10+X25)</f>
        <v>22</v>
      </c>
    </row>
    <row r="26" spans="1:25" ht="15" customHeight="1" x14ac:dyDescent="0.25">
      <c r="A26" s="188">
        <v>2</v>
      </c>
      <c r="B26" s="188">
        <v>2</v>
      </c>
      <c r="C26" s="188">
        <v>2005818</v>
      </c>
      <c r="D26" s="188" t="s">
        <v>426</v>
      </c>
      <c r="E26" s="188">
        <v>9750</v>
      </c>
      <c r="F26" s="188">
        <v>1</v>
      </c>
      <c r="G26" s="188">
        <v>0</v>
      </c>
      <c r="H26" s="188">
        <v>7800</v>
      </c>
      <c r="I26" s="189">
        <f>IF(OR(E26="TBD",E26="",E26=0),0,G26/E26)</f>
        <v>0</v>
      </c>
      <c r="J26" s="188">
        <v>3</v>
      </c>
      <c r="K26" s="188"/>
      <c r="L26" s="188"/>
      <c r="M26" s="188"/>
      <c r="V26" s="187">
        <f>IF(A26="","",A26*100+J26)</f>
        <v>203</v>
      </c>
      <c r="W26" s="187">
        <f>IF(I26&gt;=1,0,1)</f>
        <v>1</v>
      </c>
      <c r="X26" s="187">
        <f>IF(W26=1,COUNTIFS($A$22:$A$33,A26,$V$22:$V$33,"&lt;="&amp;V26,$W$22:$W$33,1),"")</f>
        <v>3</v>
      </c>
      <c r="Y26" s="187">
        <f>IF(X26="","",A26*10+X26)</f>
        <v>23</v>
      </c>
    </row>
    <row r="27" spans="1:25" ht="15" customHeight="1" x14ac:dyDescent="0.25">
      <c r="A27" s="188">
        <v>2</v>
      </c>
      <c r="B27" s="188">
        <v>2</v>
      </c>
      <c r="C27" s="188">
        <v>2001872</v>
      </c>
      <c r="D27" s="188" t="s">
        <v>425</v>
      </c>
      <c r="E27" s="188">
        <v>2000</v>
      </c>
      <c r="F27" s="188">
        <v>1</v>
      </c>
      <c r="G27" s="188">
        <v>0</v>
      </c>
      <c r="H27" s="188">
        <v>7800</v>
      </c>
      <c r="I27" s="189">
        <f>IF(OR(E27="TBD",E27="",E27=0),0,G27/E27)</f>
        <v>0</v>
      </c>
      <c r="J27" s="188">
        <v>4</v>
      </c>
      <c r="K27" s="188"/>
      <c r="L27" s="188"/>
      <c r="M27" s="188"/>
      <c r="V27" s="187">
        <f>IF(A27="","",A27*100+J27)</f>
        <v>204</v>
      </c>
      <c r="W27" s="187">
        <f>IF(I27&gt;=1,0,1)</f>
        <v>1</v>
      </c>
      <c r="X27" s="187">
        <f>IF(W27=1,COUNTIFS($A$22:$A$33,A27,$V$22:$V$33,"&lt;="&amp;V27,$W$22:$W$33,1),"")</f>
        <v>4</v>
      </c>
      <c r="Y27" s="187">
        <f>IF(X27="","",A27*10+X27)</f>
        <v>24</v>
      </c>
    </row>
    <row r="28" spans="1:25" ht="15" customHeight="1" x14ac:dyDescent="0.25">
      <c r="A28" s="188">
        <v>3</v>
      </c>
      <c r="B28" s="188">
        <v>4</v>
      </c>
      <c r="C28" s="188">
        <v>2000883</v>
      </c>
      <c r="D28" s="188" t="s">
        <v>86</v>
      </c>
      <c r="E28" s="188">
        <v>3885</v>
      </c>
      <c r="F28" s="188">
        <v>1</v>
      </c>
      <c r="G28" s="188">
        <v>0</v>
      </c>
      <c r="H28" s="188">
        <v>6000</v>
      </c>
      <c r="I28" s="189">
        <f>IF(OR(E28="TBD",E28="",E28=0),0,G28/E28)</f>
        <v>0</v>
      </c>
      <c r="J28" s="188">
        <v>1</v>
      </c>
      <c r="K28" s="188"/>
      <c r="L28" s="188"/>
      <c r="M28" s="188" t="s">
        <v>76</v>
      </c>
      <c r="V28" s="187">
        <f>IF(A28="","",A28*100+J28)</f>
        <v>301</v>
      </c>
      <c r="W28" s="187">
        <f>IF(I28&gt;=1,0,1)</f>
        <v>1</v>
      </c>
      <c r="X28" s="187">
        <f>IF(W28=1,COUNTIFS($A$22:$A$33,A28,$V$22:$V$33,"&lt;="&amp;V28,$W$22:$W$33,1),"")</f>
        <v>1</v>
      </c>
      <c r="Y28" s="187">
        <f>IF(X28="","",A28*10+X28)</f>
        <v>31</v>
      </c>
    </row>
    <row r="29" spans="1:25" ht="15" customHeight="1" x14ac:dyDescent="0.25">
      <c r="A29" s="188">
        <v>3</v>
      </c>
      <c r="B29" s="188">
        <v>4</v>
      </c>
      <c r="C29" s="188">
        <v>2000880</v>
      </c>
      <c r="D29" s="188" t="s">
        <v>424</v>
      </c>
      <c r="E29" s="188">
        <v>15000</v>
      </c>
      <c r="F29" s="188">
        <v>1</v>
      </c>
      <c r="G29" s="188">
        <v>0</v>
      </c>
      <c r="H29" s="188">
        <v>6000</v>
      </c>
      <c r="I29" s="189">
        <f>IF(OR(E29="TBD",E29="",E29=0),0,G29/E29)</f>
        <v>0</v>
      </c>
      <c r="J29" s="188">
        <v>2</v>
      </c>
      <c r="K29" s="188"/>
      <c r="L29" s="188"/>
      <c r="M29" s="188"/>
      <c r="V29" s="187">
        <f>IF(A29="","",A29*100+J29)</f>
        <v>302</v>
      </c>
      <c r="W29" s="187">
        <f>IF(I29&gt;=1,0,1)</f>
        <v>1</v>
      </c>
      <c r="X29" s="187">
        <f>IF(W29=1,COUNTIFS($A$22:$A$33,A29,$V$22:$V$33,"&lt;="&amp;V29,$W$22:$W$33,1),"")</f>
        <v>2</v>
      </c>
      <c r="Y29" s="187">
        <f>IF(X29="","",A29*10+X29)</f>
        <v>32</v>
      </c>
    </row>
    <row r="30" spans="1:25" ht="15" customHeight="1" x14ac:dyDescent="0.25">
      <c r="A30" s="188">
        <v>3</v>
      </c>
      <c r="B30" s="188">
        <v>4</v>
      </c>
      <c r="C30" s="188">
        <v>2005817</v>
      </c>
      <c r="D30" s="188" t="s">
        <v>423</v>
      </c>
      <c r="E30" s="188">
        <v>4800</v>
      </c>
      <c r="F30" s="188">
        <v>1</v>
      </c>
      <c r="G30" s="188">
        <v>0</v>
      </c>
      <c r="H30" s="188">
        <v>6000</v>
      </c>
      <c r="I30" s="189">
        <f>IF(OR(E30="TBD",E30="",E30=0),0,G30/E30)</f>
        <v>0</v>
      </c>
      <c r="J30" s="188">
        <v>3</v>
      </c>
      <c r="K30" s="188"/>
      <c r="L30" s="188"/>
      <c r="M30" s="188"/>
      <c r="V30" s="187">
        <f>IF(A30="","",A30*100+J30)</f>
        <v>303</v>
      </c>
      <c r="W30" s="187">
        <f>IF(I30&gt;=1,0,1)</f>
        <v>1</v>
      </c>
      <c r="X30" s="187">
        <f>IF(W30=1,COUNTIFS($A$22:$A$33,A30,$V$22:$V$33,"&lt;="&amp;V30,$W$22:$W$33,1),"")</f>
        <v>3</v>
      </c>
      <c r="Y30" s="187">
        <f>IF(X30="","",A30*10+X30)</f>
        <v>33</v>
      </c>
    </row>
    <row r="31" spans="1:25" ht="15" customHeight="1" x14ac:dyDescent="0.25">
      <c r="A31" s="188">
        <v>3</v>
      </c>
      <c r="B31" s="188">
        <v>4</v>
      </c>
      <c r="C31" s="188">
        <v>2005731</v>
      </c>
      <c r="D31" s="188" t="s">
        <v>422</v>
      </c>
      <c r="E31" s="188">
        <v>2000</v>
      </c>
      <c r="F31" s="188">
        <v>2</v>
      </c>
      <c r="G31" s="188">
        <v>0</v>
      </c>
      <c r="H31" s="188">
        <v>6000</v>
      </c>
      <c r="I31" s="189">
        <f>IF(OR(E31="TBD",E31="",E31=0),0,G31/E31)</f>
        <v>0</v>
      </c>
      <c r="J31" s="188">
        <v>4</v>
      </c>
      <c r="K31" s="188"/>
      <c r="L31" s="188"/>
      <c r="M31" s="188"/>
      <c r="V31" s="187">
        <f>IF(A31="","",A31*100+J31)</f>
        <v>304</v>
      </c>
      <c r="W31" s="187">
        <f>IF(I31&gt;=1,0,1)</f>
        <v>1</v>
      </c>
      <c r="X31" s="187">
        <f>IF(W31=1,COUNTIFS($A$22:$A$33,A31,$V$22:$V$33,"&lt;="&amp;V31,$W$22:$W$33,1),"")</f>
        <v>4</v>
      </c>
      <c r="Y31" s="187">
        <f>IF(X31="","",A31*10+X31)</f>
        <v>34</v>
      </c>
    </row>
    <row r="32" spans="1:25" ht="15" customHeight="1" x14ac:dyDescent="0.25">
      <c r="A32" s="188">
        <v>4</v>
      </c>
      <c r="B32" s="188">
        <v>3</v>
      </c>
      <c r="C32" s="188">
        <v>2002159</v>
      </c>
      <c r="D32" s="188" t="s">
        <v>92</v>
      </c>
      <c r="E32" s="188">
        <v>8825</v>
      </c>
      <c r="F32" s="188">
        <v>2</v>
      </c>
      <c r="G32" s="188">
        <v>0</v>
      </c>
      <c r="H32" s="188">
        <v>2940</v>
      </c>
      <c r="I32" s="189">
        <f>IF(OR(E32="TBD",E32="",E32=0),0,G32/E32)</f>
        <v>0</v>
      </c>
      <c r="J32" s="188">
        <v>1</v>
      </c>
      <c r="K32" s="188"/>
      <c r="L32" s="188"/>
      <c r="M32" s="188" t="s">
        <v>76</v>
      </c>
      <c r="V32" s="187">
        <f>IF(A32="","",A32*100+J32)</f>
        <v>401</v>
      </c>
      <c r="W32" s="187">
        <f>IF(I32&gt;=1,0,1)</f>
        <v>1</v>
      </c>
      <c r="X32" s="187">
        <f>IF(W32=1,COUNTIFS($A$22:$A$33,A32,$V$22:$V$33,"&lt;="&amp;V32,$W$22:$W$33,1),"")</f>
        <v>1</v>
      </c>
      <c r="Y32" s="187">
        <f>IF(X32="","",A32*10+X32)</f>
        <v>41</v>
      </c>
    </row>
    <row r="33" spans="1:25" ht="15" customHeight="1" x14ac:dyDescent="0.25">
      <c r="A33" s="188">
        <v>5</v>
      </c>
      <c r="B33" s="188">
        <v>5</v>
      </c>
      <c r="C33" s="188">
        <v>2005532</v>
      </c>
      <c r="D33" s="188" t="s">
        <v>421</v>
      </c>
      <c r="E33" s="188">
        <v>11600</v>
      </c>
      <c r="F33" s="188">
        <v>1</v>
      </c>
      <c r="G33" s="188">
        <v>0</v>
      </c>
      <c r="H33" s="188">
        <v>5833</v>
      </c>
      <c r="I33" s="189">
        <f>IF(OR(E33="TBD",E33="",E33=0),0,G33/E33)</f>
        <v>0</v>
      </c>
      <c r="J33" s="188">
        <v>1</v>
      </c>
      <c r="K33" s="188"/>
      <c r="L33" s="188"/>
      <c r="M33" s="188" t="s">
        <v>76</v>
      </c>
      <c r="V33" s="187">
        <f>IF(A33="","",A33*100+J33)</f>
        <v>501</v>
      </c>
      <c r="W33" s="187">
        <f>IF(I33&gt;=1,0,1)</f>
        <v>1</v>
      </c>
      <c r="X33" s="187">
        <f>IF(W33=1,COUNTIFS($A$22:$A$33,A33,$V$22:$V$33,"&lt;="&amp;V33,$W$22:$W$33,1),"")</f>
        <v>1</v>
      </c>
      <c r="Y33" s="187">
        <f>IF(X33="","",A33*10+X33)</f>
        <v>51</v>
      </c>
    </row>
    <row r="34" spans="1:25" ht="15" customHeight="1" x14ac:dyDescent="0.25"/>
    <row r="35" spans="1:25" ht="15" customHeight="1" x14ac:dyDescent="0.25"/>
    <row r="36" spans="1:25" ht="15" customHeight="1" x14ac:dyDescent="0.25"/>
  </sheetData>
  <mergeCells count="2">
    <mergeCell ref="A1:L1"/>
    <mergeCell ref="A18:L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zoomScaleNormal="100" workbookViewId="0">
      <pane ySplit="5" topLeftCell="A6" activePane="bottomLeft" state="frozen"/>
      <selection activeCell="I23" sqref="I23"/>
      <selection pane="bottomLeft" activeCell="V39" sqref="V39"/>
    </sheetView>
  </sheetViews>
  <sheetFormatPr defaultColWidth="8.7109375" defaultRowHeight="15" x14ac:dyDescent="0.25"/>
  <cols>
    <col min="1" max="1" width="6" customWidth="1"/>
    <col min="2" max="2" width="11.140625" customWidth="1"/>
    <col min="3" max="3" width="14" customWidth="1"/>
    <col min="4" max="4" width="16" customWidth="1"/>
    <col min="5" max="5" width="14" customWidth="1"/>
    <col min="6" max="7" width="12" customWidth="1"/>
    <col min="8" max="8" width="14" customWidth="1"/>
    <col min="9" max="9" width="16" customWidth="1"/>
    <col min="10" max="10" width="12" customWidth="1"/>
    <col min="11" max="11" width="16" customWidth="1"/>
    <col min="12" max="12" width="12" customWidth="1"/>
    <col min="13" max="13" width="28" customWidth="1"/>
    <col min="14" max="14" width="14" hidden="1" customWidth="1"/>
    <col min="15" max="15" width="10" hidden="1" customWidth="1"/>
    <col min="19" max="19" width="49" customWidth="1"/>
  </cols>
  <sheetData>
    <row r="1" spans="1:15" ht="20.25" customHeight="1" x14ac:dyDescent="0.25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5" ht="18" customHeight="1" x14ac:dyDescent="0.25">
      <c r="A2" s="43" t="s">
        <v>1</v>
      </c>
      <c r="B2" s="44"/>
      <c r="D2" s="43" t="s">
        <v>2</v>
      </c>
      <c r="E2" s="45"/>
      <c r="G2" s="43" t="s">
        <v>102</v>
      </c>
      <c r="H2" s="46">
        <v>90</v>
      </c>
      <c r="I2" s="43"/>
      <c r="J2" s="46"/>
    </row>
    <row r="3" spans="1:15" ht="15" customHeight="1" x14ac:dyDescent="0.25">
      <c r="G3" t="s">
        <v>103</v>
      </c>
      <c r="H3" t="s">
        <v>104</v>
      </c>
      <c r="I3" s="47"/>
      <c r="J3" t="s">
        <v>105</v>
      </c>
    </row>
    <row r="4" spans="1:15" ht="34.5" customHeight="1" x14ac:dyDescent="0.25">
      <c r="A4" s="3" t="s">
        <v>106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5" ht="30" customHeight="1" x14ac:dyDescent="0.25">
      <c r="A5" s="14" t="s">
        <v>19</v>
      </c>
      <c r="B5" s="14" t="s">
        <v>38</v>
      </c>
      <c r="C5" s="14" t="s">
        <v>39</v>
      </c>
      <c r="D5" s="14" t="s">
        <v>40</v>
      </c>
      <c r="E5" s="14" t="s">
        <v>41</v>
      </c>
      <c r="F5" s="14" t="s">
        <v>105</v>
      </c>
      <c r="G5" s="14" t="s">
        <v>107</v>
      </c>
      <c r="H5" s="14" t="s">
        <v>42</v>
      </c>
      <c r="I5" s="14" t="s">
        <v>43</v>
      </c>
      <c r="J5" s="14" t="s">
        <v>44</v>
      </c>
      <c r="K5" s="14" t="s">
        <v>45</v>
      </c>
      <c r="L5" s="14" t="s">
        <v>46</v>
      </c>
      <c r="M5" s="14" t="s">
        <v>47</v>
      </c>
      <c r="N5" s="14" t="s">
        <v>108</v>
      </c>
      <c r="O5" s="14" t="s">
        <v>109</v>
      </c>
    </row>
    <row r="6" spans="1:15" ht="15" customHeight="1" x14ac:dyDescent="0.25">
      <c r="A6" s="15">
        <v>1</v>
      </c>
      <c r="B6" s="15" t="str">
        <f>PASSDOWN!B11</f>
        <v/>
      </c>
      <c r="C6" s="15">
        <f>PASSDOWN!C11</f>
        <v>0</v>
      </c>
      <c r="D6" s="24" t="str">
        <f>IFERROR(#REF!,"")</f>
        <v/>
      </c>
      <c r="E6" s="24" t="str">
        <f>IFERROR(#REF!,"")</f>
        <v/>
      </c>
      <c r="F6" s="48"/>
      <c r="G6" s="48">
        <f>IF($J$3="Manual CPH",F6,IF($J$3="Std CPH x OEE",N6*IF(O6="",1,O6),N6))</f>
        <v>0</v>
      </c>
      <c r="H6" s="48" t="str">
        <f>IF(OR(PASSDOWN!E11="",PASSDOWN!F11=""),"",IF(PASSDOWN!E11-PASSDOWN!F11&lt;0,0,PASSDOWN!E11-PASSDOWN!F11))</f>
        <v/>
      </c>
      <c r="I6" s="48" t="str">
        <f>IF(OR(H6="",G6="",G6&lt;=0),"",IF(H6=0,0,H6/(G6/60)))</f>
        <v/>
      </c>
      <c r="J6" s="15" t="str">
        <f>IF(H6="","",IF(H6=0,"CHANGEOVER",IF(I6="","",IF(I6&lt;=$H$2,"PREP NOW","NO"))))</f>
        <v/>
      </c>
      <c r="K6" s="15"/>
      <c r="L6" s="15"/>
      <c r="M6" s="24" t="e">
        <f>IF(AND(#REF!="",#REF!=""),"",IF(#REF!="",#REF!,IF(#REF!="",#REF!,#REF!&amp;" | "&amp;#REF!)))</f>
        <v>#REF!</v>
      </c>
      <c r="N6" s="48">
        <f>IF($A6="","",IF($A6=1,REF!$H$2,IF($A6=2,REF!$H$3,IF($A6=3,REF!$H$4,IF($A6=4,REF!$H$5,IF($A6=5,REF!$H$6,""))))))</f>
        <v>0</v>
      </c>
      <c r="O6" s="49">
        <f>PASSDOWN!G11</f>
        <v>0</v>
      </c>
    </row>
    <row r="7" spans="1:15" ht="15" customHeight="1" x14ac:dyDescent="0.25">
      <c r="A7" s="15">
        <v>2</v>
      </c>
      <c r="B7" s="15" t="str">
        <f>PASSDOWN!B12</f>
        <v/>
      </c>
      <c r="C7" s="15">
        <f>PASSDOWN!C12</f>
        <v>0</v>
      </c>
      <c r="D7" s="24" t="str">
        <f>IFERROR(#REF!,"")</f>
        <v/>
      </c>
      <c r="E7" s="24" t="str">
        <f>IFERROR(#REF!,"")</f>
        <v/>
      </c>
      <c r="F7" s="48"/>
      <c r="G7" s="48">
        <f>IF($J$3="Manual CPH",F7,IF($J$3="Std CPH x OEE",N7*IF(O7="",1,O7),N7))</f>
        <v>0</v>
      </c>
      <c r="H7" s="48" t="str">
        <f>IF(OR(PASSDOWN!E12="",PASSDOWN!F12=""),"",IF(PASSDOWN!E12-PASSDOWN!F12&lt;0,0,PASSDOWN!E12-PASSDOWN!F12))</f>
        <v/>
      </c>
      <c r="I7" s="48" t="str">
        <f>IF(OR(H7="",G7="",G7&lt;=0),"",IF(H7=0,0,H7/(G7/60)))</f>
        <v/>
      </c>
      <c r="J7" s="15" t="str">
        <f>IF(H7="","",IF(H7=0,"CHANGEOVER",IF(I7="","",IF(I7&lt;=$H$2,"PREP NOW","NO"))))</f>
        <v/>
      </c>
      <c r="K7" s="15"/>
      <c r="L7" s="15"/>
      <c r="M7" s="24" t="e">
        <f>IF(AND(#REF!="",#REF!=""),"",IF(#REF!="",#REF!,IF(#REF!="",#REF!,#REF!&amp;" | "&amp;#REF!)))</f>
        <v>#REF!</v>
      </c>
      <c r="N7" s="48">
        <f>IF($A7="","",IF($A7=1,REF!$H$2,IF($A7=2,REF!$H$3,IF($A7=3,REF!$H$4,IF($A7=4,REF!$H$5,IF($A7=5,REF!$H$6,""))))))</f>
        <v>0</v>
      </c>
      <c r="O7" s="49">
        <f>PASSDOWN!G12</f>
        <v>0</v>
      </c>
    </row>
    <row r="8" spans="1:15" ht="15" customHeight="1" x14ac:dyDescent="0.25">
      <c r="A8" s="15">
        <v>3</v>
      </c>
      <c r="B8" s="15" t="str">
        <f>PASSDOWN!B13</f>
        <v/>
      </c>
      <c r="C8" s="15">
        <f>PASSDOWN!C13</f>
        <v>0</v>
      </c>
      <c r="D8" s="24" t="str">
        <f>IFERROR(#REF!,"")</f>
        <v/>
      </c>
      <c r="E8" s="24" t="str">
        <f>IFERROR(#REF!,"")</f>
        <v/>
      </c>
      <c r="F8" s="48"/>
      <c r="G8" s="48">
        <f>IF($J$3="Manual CPH",F8,IF($J$3="Std CPH x OEE",N8*IF(O8="",1,O8),N8))</f>
        <v>0</v>
      </c>
      <c r="H8" s="48" t="str">
        <f>IF(OR(PASSDOWN!E13="",PASSDOWN!F13=""),"",IF(PASSDOWN!E13-PASSDOWN!F13&lt;0,0,PASSDOWN!E13-PASSDOWN!F13))</f>
        <v/>
      </c>
      <c r="I8" s="48" t="str">
        <f>IF(OR(H8="",G8="",G8&lt;=0),"",IF(H8=0,0,H8/(G8/60)))</f>
        <v/>
      </c>
      <c r="J8" s="15" t="str">
        <f>IF(H8="","",IF(H8=0,"CHANGEOVER",IF(I8="","",IF(I8&lt;=$H$2,"PREP NOW","NO"))))</f>
        <v/>
      </c>
      <c r="K8" s="15"/>
      <c r="L8" s="15"/>
      <c r="M8" s="24" t="e">
        <f>IF(AND(#REF!="",#REF!=""),"",IF(#REF!="",#REF!,IF(#REF!="",#REF!,#REF!&amp;" | "&amp;#REF!)))</f>
        <v>#REF!</v>
      </c>
      <c r="N8" s="48">
        <f>IF($A8="","",IF($A8=1,REF!$H$2,IF($A8=2,REF!$H$3,IF($A8=3,REF!$H$4,IF($A8=4,REF!$H$5,IF($A8=5,REF!$H$6,""))))))</f>
        <v>0</v>
      </c>
      <c r="O8" s="49">
        <f>PASSDOWN!G13</f>
        <v>0</v>
      </c>
    </row>
    <row r="9" spans="1:15" ht="15" customHeight="1" x14ac:dyDescent="0.25">
      <c r="A9" s="15">
        <v>4</v>
      </c>
      <c r="B9" s="15" t="str">
        <f>PASSDOWN!B14</f>
        <v/>
      </c>
      <c r="C9" s="15">
        <f>PASSDOWN!C14</f>
        <v>0</v>
      </c>
      <c r="D9" s="24" t="str">
        <f>IFERROR(#REF!,"")</f>
        <v/>
      </c>
      <c r="E9" s="24" t="str">
        <f>IFERROR(#REF!,"")</f>
        <v/>
      </c>
      <c r="F9" s="48"/>
      <c r="G9" s="48">
        <f>IF($J$3="Manual CPH",F9,IF($J$3="Std CPH x OEE",N9*IF(O9="",1,O9),N9))</f>
        <v>0</v>
      </c>
      <c r="H9" s="48" t="str">
        <f>IF(OR(PASSDOWN!E14="",PASSDOWN!F14=""),"",IF(PASSDOWN!E14-PASSDOWN!F14&lt;0,0,PASSDOWN!E14-PASSDOWN!F14))</f>
        <v/>
      </c>
      <c r="I9" s="48" t="str">
        <f>IF(OR(H9="",G9="",G9&lt;=0),"",IF(H9=0,0,H9/(G9/60)))</f>
        <v/>
      </c>
      <c r="J9" s="15" t="str">
        <f>IF(H9="","",IF(H9=0,"CHANGEOVER",IF(I9="","",IF(I9&lt;=$H$2,"PREP NOW","NO"))))</f>
        <v/>
      </c>
      <c r="K9" s="15"/>
      <c r="L9" s="15"/>
      <c r="M9" s="24" t="e">
        <f>IF(AND(#REF!="",#REF!=""),"",IF(#REF!="",#REF!,IF(#REF!="",#REF!,#REF!&amp;" | "&amp;#REF!)))</f>
        <v>#REF!</v>
      </c>
      <c r="N9" s="48">
        <f>IF($A9="","",IF($A9=1,REF!$H$2,IF($A9=2,REF!$H$3,IF($A9=3,REF!$H$4,IF($A9=4,REF!$H$5,IF($A9=5,REF!$H$6,""))))))</f>
        <v>0</v>
      </c>
      <c r="O9" s="49">
        <f>PASSDOWN!G14</f>
        <v>0</v>
      </c>
    </row>
    <row r="10" spans="1:15" ht="15" customHeight="1" x14ac:dyDescent="0.25">
      <c r="A10" s="15">
        <v>5</v>
      </c>
      <c r="B10" s="15" t="str">
        <f>PASSDOWN!B15</f>
        <v/>
      </c>
      <c r="C10" s="15">
        <f>PASSDOWN!C15</f>
        <v>0</v>
      </c>
      <c r="D10" s="24" t="str">
        <f>IFERROR(#REF!,"")</f>
        <v/>
      </c>
      <c r="E10" s="24" t="str">
        <f>IFERROR(#REF!,"")</f>
        <v/>
      </c>
      <c r="F10" s="48"/>
      <c r="G10" s="48">
        <f>IF($J$3="Manual CPH",F10,IF($J$3="Std CPH x OEE",N10*IF(O10="",1,O10),N10))</f>
        <v>0</v>
      </c>
      <c r="H10" s="48" t="str">
        <f>IF(OR(PASSDOWN!E15="",PASSDOWN!F15=""),"",IF(PASSDOWN!E15-PASSDOWN!F15&lt;0,0,PASSDOWN!E15-PASSDOWN!F15))</f>
        <v/>
      </c>
      <c r="I10" s="48" t="str">
        <f>IF(OR(H10="",G10="",G10&lt;=0),"",IF(H10=0,0,H10/(G10/60)))</f>
        <v/>
      </c>
      <c r="J10" s="15" t="str">
        <f>IF(H10="","",IF(H10=0,"CHANGEOVER",IF(I10="","",IF(I10&lt;=$H$2,"PREP NOW","NO"))))</f>
        <v/>
      </c>
      <c r="K10" s="15"/>
      <c r="L10" s="15"/>
      <c r="M10" s="24" t="e">
        <f>IF(AND(#REF!="",#REF!=""),"",IF(#REF!="",#REF!,IF(#REF!="",#REF!,#REF!&amp;" | "&amp;#REF!)))</f>
        <v>#REF!</v>
      </c>
      <c r="N10" s="48">
        <f>IF($A10="","",IF($A10=1,REF!$H$2,IF($A10=2,REF!$H$3,IF($A10=3,REF!$H$4,IF($A10=4,REF!$H$5,IF($A10=5,REF!$H$6,""))))))</f>
        <v>0</v>
      </c>
      <c r="O10" s="49">
        <f>PASSDOWN!G15</f>
        <v>0</v>
      </c>
    </row>
    <row r="12" spans="1:15" ht="15" customHeight="1" x14ac:dyDescent="0.25">
      <c r="A12" s="3" t="s">
        <v>110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ht="30" customHeight="1" x14ac:dyDescent="0.25">
      <c r="A13" s="14" t="s">
        <v>1</v>
      </c>
      <c r="B13" s="14" t="s">
        <v>2</v>
      </c>
      <c r="C13" s="14" t="s">
        <v>19</v>
      </c>
      <c r="D13" s="14" t="s">
        <v>111</v>
      </c>
      <c r="E13" s="14" t="s">
        <v>112</v>
      </c>
      <c r="F13" s="14" t="s">
        <v>113</v>
      </c>
      <c r="G13" s="14" t="s">
        <v>114</v>
      </c>
      <c r="H13" s="14" t="s">
        <v>115</v>
      </c>
      <c r="I13" s="14" t="s">
        <v>116</v>
      </c>
      <c r="J13" s="14" t="s">
        <v>117</v>
      </c>
    </row>
    <row r="14" spans="1:15" ht="15" customHeight="1" x14ac:dyDescent="0.25">
      <c r="A14" s="50" t="str">
        <f t="shared" ref="A14:A33" si="0">IF($C14="","", $B$2)</f>
        <v/>
      </c>
      <c r="B14" s="16" t="str">
        <f t="shared" ref="B14:B33" si="1">IF($C14="","", $E$2)</f>
        <v/>
      </c>
      <c r="C14" s="16"/>
      <c r="D14" s="20"/>
      <c r="E14" s="16"/>
      <c r="F14" s="51"/>
      <c r="G14" s="51"/>
      <c r="H14" s="18" t="str">
        <f t="shared" ref="H14:H45" si="2">IF(OR(F14="",G14=""),"", (G14-F14)*1440)</f>
        <v/>
      </c>
      <c r="I14" s="16" t="str">
        <f t="shared" ref="I14:I45" si="3">IF(H14="","",IF(H14&lt;= $H$2,"Y","N"))</f>
        <v/>
      </c>
      <c r="J14" s="16"/>
    </row>
    <row r="15" spans="1:15" ht="15" customHeight="1" x14ac:dyDescent="0.25">
      <c r="A15" s="50" t="str">
        <f t="shared" si="0"/>
        <v/>
      </c>
      <c r="B15" s="16" t="str">
        <f t="shared" si="1"/>
        <v/>
      </c>
      <c r="C15" s="16"/>
      <c r="D15" s="20"/>
      <c r="E15" s="16"/>
      <c r="F15" s="51"/>
      <c r="G15" s="51"/>
      <c r="H15" s="18" t="str">
        <f t="shared" si="2"/>
        <v/>
      </c>
      <c r="I15" s="16" t="str">
        <f t="shared" si="3"/>
        <v/>
      </c>
      <c r="J15" s="16"/>
    </row>
    <row r="16" spans="1:15" ht="15" customHeight="1" x14ac:dyDescent="0.25">
      <c r="A16" s="50" t="str">
        <f t="shared" si="0"/>
        <v/>
      </c>
      <c r="B16" s="16" t="str">
        <f t="shared" si="1"/>
        <v/>
      </c>
      <c r="C16" s="16"/>
      <c r="D16" s="20"/>
      <c r="E16" s="16"/>
      <c r="F16" s="51"/>
      <c r="G16" s="51"/>
      <c r="H16" s="18" t="str">
        <f t="shared" si="2"/>
        <v/>
      </c>
      <c r="I16" s="16" t="str">
        <f t="shared" si="3"/>
        <v/>
      </c>
      <c r="J16" s="16"/>
    </row>
    <row r="17" spans="1:10" ht="15" customHeight="1" x14ac:dyDescent="0.25">
      <c r="A17" s="50" t="str">
        <f t="shared" si="0"/>
        <v/>
      </c>
      <c r="B17" s="16" t="str">
        <f t="shared" si="1"/>
        <v/>
      </c>
      <c r="C17" s="16"/>
      <c r="D17" s="20"/>
      <c r="E17" s="16"/>
      <c r="F17" s="51"/>
      <c r="G17" s="51"/>
      <c r="H17" s="18" t="str">
        <f t="shared" si="2"/>
        <v/>
      </c>
      <c r="I17" s="16" t="str">
        <f t="shared" si="3"/>
        <v/>
      </c>
      <c r="J17" s="16"/>
    </row>
    <row r="18" spans="1:10" ht="15" customHeight="1" x14ac:dyDescent="0.25">
      <c r="A18" s="50" t="str">
        <f t="shared" si="0"/>
        <v/>
      </c>
      <c r="B18" s="16" t="str">
        <f t="shared" si="1"/>
        <v/>
      </c>
      <c r="C18" s="16"/>
      <c r="D18" s="20"/>
      <c r="E18" s="16"/>
      <c r="F18" s="51"/>
      <c r="G18" s="51"/>
      <c r="H18" s="18" t="str">
        <f t="shared" si="2"/>
        <v/>
      </c>
      <c r="I18" s="16" t="str">
        <f t="shared" si="3"/>
        <v/>
      </c>
      <c r="J18" s="16"/>
    </row>
    <row r="19" spans="1:10" ht="15" customHeight="1" x14ac:dyDescent="0.25">
      <c r="A19" s="50" t="str">
        <f t="shared" si="0"/>
        <v/>
      </c>
      <c r="B19" s="16" t="str">
        <f t="shared" si="1"/>
        <v/>
      </c>
      <c r="C19" s="16"/>
      <c r="D19" s="20"/>
      <c r="E19" s="16"/>
      <c r="F19" s="51"/>
      <c r="G19" s="51"/>
      <c r="H19" s="18" t="str">
        <f t="shared" si="2"/>
        <v/>
      </c>
      <c r="I19" s="16" t="str">
        <f t="shared" si="3"/>
        <v/>
      </c>
      <c r="J19" s="16"/>
    </row>
    <row r="20" spans="1:10" ht="15" customHeight="1" x14ac:dyDescent="0.25">
      <c r="A20" s="50" t="str">
        <f t="shared" si="0"/>
        <v/>
      </c>
      <c r="B20" s="16" t="str">
        <f t="shared" si="1"/>
        <v/>
      </c>
      <c r="C20" s="16"/>
      <c r="D20" s="20"/>
      <c r="E20" s="16"/>
      <c r="F20" s="51"/>
      <c r="G20" s="51"/>
      <c r="H20" s="18" t="str">
        <f t="shared" si="2"/>
        <v/>
      </c>
      <c r="I20" s="16" t="str">
        <f t="shared" si="3"/>
        <v/>
      </c>
      <c r="J20" s="16"/>
    </row>
    <row r="21" spans="1:10" ht="15" customHeight="1" x14ac:dyDescent="0.25">
      <c r="A21" s="50" t="str">
        <f t="shared" si="0"/>
        <v/>
      </c>
      <c r="B21" s="16" t="str">
        <f t="shared" si="1"/>
        <v/>
      </c>
      <c r="C21" s="16"/>
      <c r="D21" s="20"/>
      <c r="E21" s="16"/>
      <c r="F21" s="51"/>
      <c r="G21" s="51"/>
      <c r="H21" s="18" t="str">
        <f t="shared" si="2"/>
        <v/>
      </c>
      <c r="I21" s="16" t="str">
        <f t="shared" si="3"/>
        <v/>
      </c>
      <c r="J21" s="16"/>
    </row>
    <row r="22" spans="1:10" ht="15" customHeight="1" x14ac:dyDescent="0.25">
      <c r="A22" s="50" t="str">
        <f t="shared" si="0"/>
        <v/>
      </c>
      <c r="B22" s="16" t="str">
        <f t="shared" si="1"/>
        <v/>
      </c>
      <c r="C22" s="16"/>
      <c r="D22" s="20"/>
      <c r="E22" s="16"/>
      <c r="F22" s="51"/>
      <c r="G22" s="51"/>
      <c r="H22" s="18" t="str">
        <f t="shared" si="2"/>
        <v/>
      </c>
      <c r="I22" s="16" t="str">
        <f t="shared" si="3"/>
        <v/>
      </c>
      <c r="J22" s="16"/>
    </row>
    <row r="23" spans="1:10" ht="15" customHeight="1" x14ac:dyDescent="0.25">
      <c r="A23" s="50" t="str">
        <f t="shared" si="0"/>
        <v/>
      </c>
      <c r="B23" s="16" t="str">
        <f t="shared" si="1"/>
        <v/>
      </c>
      <c r="C23" s="16"/>
      <c r="D23" s="20"/>
      <c r="E23" s="16"/>
      <c r="F23" s="51"/>
      <c r="G23" s="51"/>
      <c r="H23" s="18" t="str">
        <f t="shared" si="2"/>
        <v/>
      </c>
      <c r="I23" s="16" t="str">
        <f t="shared" si="3"/>
        <v/>
      </c>
      <c r="J23" s="16"/>
    </row>
    <row r="24" spans="1:10" ht="15" customHeight="1" x14ac:dyDescent="0.25">
      <c r="A24" s="50" t="str">
        <f t="shared" si="0"/>
        <v/>
      </c>
      <c r="B24" s="16" t="str">
        <f t="shared" si="1"/>
        <v/>
      </c>
      <c r="C24" s="16"/>
      <c r="D24" s="20"/>
      <c r="E24" s="16"/>
      <c r="F24" s="51"/>
      <c r="G24" s="51"/>
      <c r="H24" s="18" t="str">
        <f t="shared" si="2"/>
        <v/>
      </c>
      <c r="I24" s="16" t="str">
        <f t="shared" si="3"/>
        <v/>
      </c>
      <c r="J24" s="16"/>
    </row>
    <row r="25" spans="1:10" ht="15" customHeight="1" x14ac:dyDescent="0.25">
      <c r="A25" s="50" t="str">
        <f t="shared" si="0"/>
        <v/>
      </c>
      <c r="B25" s="16" t="str">
        <f t="shared" si="1"/>
        <v/>
      </c>
      <c r="C25" s="16"/>
      <c r="D25" s="20"/>
      <c r="E25" s="16"/>
      <c r="F25" s="51"/>
      <c r="G25" s="51"/>
      <c r="H25" s="18" t="str">
        <f t="shared" si="2"/>
        <v/>
      </c>
      <c r="I25" s="16" t="str">
        <f t="shared" si="3"/>
        <v/>
      </c>
      <c r="J25" s="16"/>
    </row>
    <row r="26" spans="1:10" ht="15" customHeight="1" x14ac:dyDescent="0.25">
      <c r="A26" s="50" t="str">
        <f t="shared" si="0"/>
        <v/>
      </c>
      <c r="B26" s="16" t="str">
        <f t="shared" si="1"/>
        <v/>
      </c>
      <c r="C26" s="16"/>
      <c r="D26" s="20"/>
      <c r="E26" s="16"/>
      <c r="F26" s="51"/>
      <c r="G26" s="51"/>
      <c r="H26" s="18" t="str">
        <f t="shared" si="2"/>
        <v/>
      </c>
      <c r="I26" s="16" t="str">
        <f t="shared" si="3"/>
        <v/>
      </c>
      <c r="J26" s="16"/>
    </row>
    <row r="27" spans="1:10" ht="15" customHeight="1" x14ac:dyDescent="0.25">
      <c r="A27" s="50" t="str">
        <f t="shared" si="0"/>
        <v/>
      </c>
      <c r="B27" s="16" t="str">
        <f t="shared" si="1"/>
        <v/>
      </c>
      <c r="C27" s="16"/>
      <c r="D27" s="20"/>
      <c r="E27" s="16"/>
      <c r="F27" s="51"/>
      <c r="G27" s="51"/>
      <c r="H27" s="18" t="str">
        <f t="shared" si="2"/>
        <v/>
      </c>
      <c r="I27" s="16" t="str">
        <f t="shared" si="3"/>
        <v/>
      </c>
      <c r="J27" s="16"/>
    </row>
    <row r="28" spans="1:10" ht="15" customHeight="1" x14ac:dyDescent="0.25">
      <c r="A28" s="50" t="str">
        <f t="shared" si="0"/>
        <v/>
      </c>
      <c r="B28" s="16" t="str">
        <f t="shared" si="1"/>
        <v/>
      </c>
      <c r="C28" s="16"/>
      <c r="D28" s="20"/>
      <c r="E28" s="16"/>
      <c r="F28" s="51"/>
      <c r="G28" s="51"/>
      <c r="H28" s="18" t="str">
        <f t="shared" si="2"/>
        <v/>
      </c>
      <c r="I28" s="16" t="str">
        <f t="shared" si="3"/>
        <v/>
      </c>
      <c r="J28" s="16"/>
    </row>
    <row r="29" spans="1:10" ht="15" customHeight="1" x14ac:dyDescent="0.25">
      <c r="A29" s="50" t="str">
        <f t="shared" si="0"/>
        <v/>
      </c>
      <c r="B29" s="16" t="str">
        <f t="shared" si="1"/>
        <v/>
      </c>
      <c r="C29" s="16"/>
      <c r="D29" s="20"/>
      <c r="E29" s="16"/>
      <c r="F29" s="51"/>
      <c r="G29" s="51"/>
      <c r="H29" s="18" t="str">
        <f t="shared" si="2"/>
        <v/>
      </c>
      <c r="I29" s="16" t="str">
        <f t="shared" si="3"/>
        <v/>
      </c>
      <c r="J29" s="16"/>
    </row>
    <row r="30" spans="1:10" ht="15" customHeight="1" x14ac:dyDescent="0.25">
      <c r="A30" s="50" t="str">
        <f t="shared" si="0"/>
        <v/>
      </c>
      <c r="B30" s="16" t="str">
        <f t="shared" si="1"/>
        <v/>
      </c>
      <c r="C30" s="16"/>
      <c r="D30" s="20"/>
      <c r="E30" s="16"/>
      <c r="F30" s="51"/>
      <c r="G30" s="51"/>
      <c r="H30" s="18" t="str">
        <f t="shared" si="2"/>
        <v/>
      </c>
      <c r="I30" s="16" t="str">
        <f t="shared" si="3"/>
        <v/>
      </c>
      <c r="J30" s="16"/>
    </row>
    <row r="31" spans="1:10" ht="15" customHeight="1" x14ac:dyDescent="0.25">
      <c r="A31" s="50" t="str">
        <f t="shared" si="0"/>
        <v/>
      </c>
      <c r="B31" s="16" t="str">
        <f t="shared" si="1"/>
        <v/>
      </c>
      <c r="C31" s="16"/>
      <c r="D31" s="20"/>
      <c r="E31" s="16"/>
      <c r="F31" s="51"/>
      <c r="G31" s="51"/>
      <c r="H31" s="18" t="str">
        <f t="shared" si="2"/>
        <v/>
      </c>
      <c r="I31" s="16" t="str">
        <f t="shared" si="3"/>
        <v/>
      </c>
      <c r="J31" s="16"/>
    </row>
    <row r="32" spans="1:10" ht="15" customHeight="1" x14ac:dyDescent="0.25">
      <c r="A32" s="50" t="str">
        <f t="shared" si="0"/>
        <v/>
      </c>
      <c r="B32" s="16" t="str">
        <f t="shared" si="1"/>
        <v/>
      </c>
      <c r="C32" s="16"/>
      <c r="D32" s="20"/>
      <c r="E32" s="16"/>
      <c r="F32" s="51"/>
      <c r="G32" s="51"/>
      <c r="H32" s="18" t="str">
        <f t="shared" si="2"/>
        <v/>
      </c>
      <c r="I32" s="16" t="str">
        <f t="shared" si="3"/>
        <v/>
      </c>
      <c r="J32" s="16"/>
    </row>
    <row r="33" spans="1:10" ht="15" customHeight="1" x14ac:dyDescent="0.25">
      <c r="A33" s="50" t="str">
        <f t="shared" si="0"/>
        <v/>
      </c>
      <c r="B33" s="16" t="str">
        <f t="shared" si="1"/>
        <v/>
      </c>
      <c r="C33" s="16"/>
      <c r="D33" s="20"/>
      <c r="E33" s="16"/>
      <c r="F33" s="51"/>
      <c r="G33" s="51"/>
      <c r="H33" s="18" t="str">
        <f t="shared" si="2"/>
        <v/>
      </c>
      <c r="I33" s="16" t="str">
        <f t="shared" si="3"/>
        <v/>
      </c>
      <c r="J33" s="16"/>
    </row>
    <row r="34" spans="1:10" ht="15" customHeight="1" x14ac:dyDescent="0.25">
      <c r="F34" s="52"/>
      <c r="G34" s="52"/>
      <c r="H34" s="53" t="str">
        <f t="shared" si="2"/>
        <v/>
      </c>
      <c r="I34" t="str">
        <f t="shared" si="3"/>
        <v/>
      </c>
    </row>
    <row r="35" spans="1:10" ht="15" customHeight="1" x14ac:dyDescent="0.25">
      <c r="F35" s="52"/>
      <c r="G35" s="52"/>
      <c r="H35" s="53" t="str">
        <f t="shared" si="2"/>
        <v/>
      </c>
      <c r="I35" t="str">
        <f t="shared" si="3"/>
        <v/>
      </c>
    </row>
    <row r="36" spans="1:10" ht="15" customHeight="1" x14ac:dyDescent="0.25">
      <c r="F36" s="52"/>
      <c r="G36" s="52"/>
      <c r="H36" s="53" t="str">
        <f t="shared" si="2"/>
        <v/>
      </c>
      <c r="I36" t="str">
        <f t="shared" si="3"/>
        <v/>
      </c>
    </row>
    <row r="37" spans="1:10" ht="15" customHeight="1" x14ac:dyDescent="0.25">
      <c r="F37" s="52"/>
      <c r="G37" s="52"/>
      <c r="H37" s="53" t="str">
        <f t="shared" si="2"/>
        <v/>
      </c>
      <c r="I37" t="str">
        <f t="shared" si="3"/>
        <v/>
      </c>
    </row>
    <row r="38" spans="1:10" ht="15" customHeight="1" x14ac:dyDescent="0.25">
      <c r="F38" s="52"/>
      <c r="G38" s="52"/>
      <c r="H38" s="53" t="str">
        <f t="shared" si="2"/>
        <v/>
      </c>
      <c r="I38" t="str">
        <f t="shared" si="3"/>
        <v/>
      </c>
    </row>
    <row r="39" spans="1:10" ht="15" customHeight="1" x14ac:dyDescent="0.25">
      <c r="F39" s="52"/>
      <c r="G39" s="52"/>
      <c r="H39" s="53" t="str">
        <f t="shared" si="2"/>
        <v/>
      </c>
      <c r="I39" t="str">
        <f t="shared" si="3"/>
        <v/>
      </c>
    </row>
    <row r="40" spans="1:10" ht="15" customHeight="1" x14ac:dyDescent="0.25">
      <c r="F40" s="52"/>
      <c r="G40" s="52"/>
      <c r="H40" s="53" t="str">
        <f t="shared" si="2"/>
        <v/>
      </c>
      <c r="I40" t="str">
        <f t="shared" si="3"/>
        <v/>
      </c>
    </row>
    <row r="41" spans="1:10" ht="15" customHeight="1" x14ac:dyDescent="0.25">
      <c r="F41" s="52"/>
      <c r="G41" s="52"/>
      <c r="H41" s="53" t="str">
        <f t="shared" si="2"/>
        <v/>
      </c>
      <c r="I41" t="str">
        <f t="shared" si="3"/>
        <v/>
      </c>
    </row>
    <row r="42" spans="1:10" ht="15" customHeight="1" x14ac:dyDescent="0.25">
      <c r="F42" s="52"/>
      <c r="G42" s="52"/>
      <c r="H42" s="53" t="str">
        <f t="shared" si="2"/>
        <v/>
      </c>
      <c r="I42" t="str">
        <f t="shared" si="3"/>
        <v/>
      </c>
    </row>
    <row r="43" spans="1:10" ht="15" customHeight="1" x14ac:dyDescent="0.25">
      <c r="F43" s="52"/>
      <c r="G43" s="52"/>
      <c r="H43" s="53" t="str">
        <f t="shared" si="2"/>
        <v/>
      </c>
      <c r="I43" t="str">
        <f t="shared" si="3"/>
        <v/>
      </c>
    </row>
    <row r="44" spans="1:10" ht="15" customHeight="1" x14ac:dyDescent="0.25">
      <c r="F44" s="52"/>
      <c r="G44" s="52"/>
      <c r="H44" s="53" t="str">
        <f t="shared" si="2"/>
        <v/>
      </c>
      <c r="I44" t="str">
        <f t="shared" si="3"/>
        <v/>
      </c>
    </row>
    <row r="45" spans="1:10" ht="15" customHeight="1" x14ac:dyDescent="0.25">
      <c r="F45" s="52"/>
      <c r="G45" s="52"/>
      <c r="H45" s="53" t="str">
        <f t="shared" si="2"/>
        <v/>
      </c>
      <c r="I45" t="str">
        <f t="shared" si="3"/>
        <v/>
      </c>
    </row>
    <row r="46" spans="1:10" ht="15" customHeight="1" x14ac:dyDescent="0.25">
      <c r="F46" s="52"/>
      <c r="G46" s="52"/>
      <c r="H46" s="53" t="str">
        <f t="shared" ref="H46:H77" si="4">IF(OR(F46="",G46=""),"", (G46-F46)*1440)</f>
        <v/>
      </c>
      <c r="I46" t="str">
        <f t="shared" ref="I46:I77" si="5">IF(H46="","",IF(H46&lt;= $H$2,"Y","N"))</f>
        <v/>
      </c>
    </row>
    <row r="47" spans="1:10" ht="15" customHeight="1" x14ac:dyDescent="0.25">
      <c r="F47" s="52"/>
      <c r="G47" s="52"/>
      <c r="H47" s="53" t="str">
        <f t="shared" si="4"/>
        <v/>
      </c>
      <c r="I47" t="str">
        <f t="shared" si="5"/>
        <v/>
      </c>
    </row>
    <row r="48" spans="1:10" ht="15" customHeight="1" x14ac:dyDescent="0.25">
      <c r="F48" s="52"/>
      <c r="G48" s="52"/>
      <c r="H48" s="53" t="str">
        <f t="shared" si="4"/>
        <v/>
      </c>
      <c r="I48" t="str">
        <f t="shared" si="5"/>
        <v/>
      </c>
    </row>
    <row r="49" spans="6:9" ht="15" customHeight="1" x14ac:dyDescent="0.25">
      <c r="F49" s="52"/>
      <c r="G49" s="52"/>
      <c r="H49" s="53" t="str">
        <f t="shared" si="4"/>
        <v/>
      </c>
      <c r="I49" t="str">
        <f t="shared" si="5"/>
        <v/>
      </c>
    </row>
    <row r="50" spans="6:9" ht="15" customHeight="1" x14ac:dyDescent="0.25">
      <c r="F50" s="52"/>
      <c r="G50" s="52"/>
      <c r="H50" s="53" t="str">
        <f t="shared" si="4"/>
        <v/>
      </c>
      <c r="I50" t="str">
        <f t="shared" si="5"/>
        <v/>
      </c>
    </row>
    <row r="51" spans="6:9" ht="15" customHeight="1" x14ac:dyDescent="0.25">
      <c r="F51" s="52"/>
      <c r="G51" s="52"/>
      <c r="H51" s="53" t="str">
        <f t="shared" si="4"/>
        <v/>
      </c>
      <c r="I51" t="str">
        <f t="shared" si="5"/>
        <v/>
      </c>
    </row>
    <row r="52" spans="6:9" ht="15" customHeight="1" x14ac:dyDescent="0.25">
      <c r="F52" s="52"/>
      <c r="G52" s="52"/>
      <c r="H52" s="53" t="str">
        <f t="shared" si="4"/>
        <v/>
      </c>
      <c r="I52" t="str">
        <f t="shared" si="5"/>
        <v/>
      </c>
    </row>
    <row r="53" spans="6:9" ht="15" customHeight="1" x14ac:dyDescent="0.25">
      <c r="F53" s="52"/>
      <c r="G53" s="52"/>
      <c r="H53" s="53" t="str">
        <f t="shared" si="4"/>
        <v/>
      </c>
      <c r="I53" t="str">
        <f t="shared" si="5"/>
        <v/>
      </c>
    </row>
    <row r="54" spans="6:9" ht="15" customHeight="1" x14ac:dyDescent="0.25">
      <c r="F54" s="52"/>
      <c r="G54" s="52"/>
      <c r="H54" s="53" t="str">
        <f t="shared" si="4"/>
        <v/>
      </c>
      <c r="I54" t="str">
        <f t="shared" si="5"/>
        <v/>
      </c>
    </row>
    <row r="55" spans="6:9" ht="15" customHeight="1" x14ac:dyDescent="0.25">
      <c r="F55" s="52"/>
      <c r="G55" s="52"/>
      <c r="H55" s="53" t="str">
        <f t="shared" si="4"/>
        <v/>
      </c>
      <c r="I55" t="str">
        <f t="shared" si="5"/>
        <v/>
      </c>
    </row>
    <row r="56" spans="6:9" ht="15" customHeight="1" x14ac:dyDescent="0.25">
      <c r="F56" s="52"/>
      <c r="G56" s="52"/>
      <c r="H56" s="53" t="str">
        <f t="shared" si="4"/>
        <v/>
      </c>
      <c r="I56" t="str">
        <f t="shared" si="5"/>
        <v/>
      </c>
    </row>
    <row r="57" spans="6:9" ht="15" customHeight="1" x14ac:dyDescent="0.25">
      <c r="F57" s="52"/>
      <c r="G57" s="52"/>
      <c r="H57" s="53" t="str">
        <f t="shared" si="4"/>
        <v/>
      </c>
      <c r="I57" t="str">
        <f t="shared" si="5"/>
        <v/>
      </c>
    </row>
    <row r="58" spans="6:9" ht="15" customHeight="1" x14ac:dyDescent="0.25">
      <c r="F58" s="52"/>
      <c r="G58" s="52"/>
      <c r="H58" s="53" t="str">
        <f t="shared" si="4"/>
        <v/>
      </c>
      <c r="I58" t="str">
        <f t="shared" si="5"/>
        <v/>
      </c>
    </row>
    <row r="59" spans="6:9" ht="15" customHeight="1" x14ac:dyDescent="0.25">
      <c r="F59" s="52"/>
      <c r="G59" s="52"/>
      <c r="H59" s="53" t="str">
        <f t="shared" si="4"/>
        <v/>
      </c>
      <c r="I59" t="str">
        <f t="shared" si="5"/>
        <v/>
      </c>
    </row>
    <row r="60" spans="6:9" ht="15" customHeight="1" x14ac:dyDescent="0.25">
      <c r="F60" s="52"/>
      <c r="G60" s="52"/>
      <c r="H60" s="53" t="str">
        <f t="shared" si="4"/>
        <v/>
      </c>
      <c r="I60" t="str">
        <f t="shared" si="5"/>
        <v/>
      </c>
    </row>
    <row r="61" spans="6:9" ht="15" customHeight="1" x14ac:dyDescent="0.25">
      <c r="F61" s="52"/>
      <c r="G61" s="52"/>
      <c r="H61" s="53" t="str">
        <f t="shared" si="4"/>
        <v/>
      </c>
      <c r="I61" t="str">
        <f t="shared" si="5"/>
        <v/>
      </c>
    </row>
    <row r="62" spans="6:9" ht="15" customHeight="1" x14ac:dyDescent="0.25">
      <c r="F62" s="52"/>
      <c r="G62" s="52"/>
      <c r="H62" s="53" t="str">
        <f t="shared" si="4"/>
        <v/>
      </c>
      <c r="I62" t="str">
        <f t="shared" si="5"/>
        <v/>
      </c>
    </row>
    <row r="63" spans="6:9" ht="15" customHeight="1" x14ac:dyDescent="0.25">
      <c r="F63" s="52"/>
      <c r="G63" s="52"/>
      <c r="H63" s="53" t="str">
        <f t="shared" si="4"/>
        <v/>
      </c>
      <c r="I63" t="str">
        <f t="shared" si="5"/>
        <v/>
      </c>
    </row>
    <row r="64" spans="6:9" ht="15" customHeight="1" x14ac:dyDescent="0.25">
      <c r="F64" s="52"/>
      <c r="G64" s="52"/>
      <c r="H64" s="53" t="str">
        <f t="shared" si="4"/>
        <v/>
      </c>
      <c r="I64" t="str">
        <f t="shared" si="5"/>
        <v/>
      </c>
    </row>
    <row r="65" spans="6:9" ht="15" customHeight="1" x14ac:dyDescent="0.25">
      <c r="F65" s="52"/>
      <c r="G65" s="52"/>
      <c r="H65" s="53" t="str">
        <f t="shared" si="4"/>
        <v/>
      </c>
      <c r="I65" t="str">
        <f t="shared" si="5"/>
        <v/>
      </c>
    </row>
    <row r="66" spans="6:9" ht="15" customHeight="1" x14ac:dyDescent="0.25">
      <c r="F66" s="52"/>
      <c r="G66" s="52"/>
      <c r="H66" s="53" t="str">
        <f t="shared" si="4"/>
        <v/>
      </c>
      <c r="I66" t="str">
        <f t="shared" si="5"/>
        <v/>
      </c>
    </row>
    <row r="67" spans="6:9" ht="15" customHeight="1" x14ac:dyDescent="0.25">
      <c r="F67" s="52"/>
      <c r="G67" s="52"/>
      <c r="H67" s="53" t="str">
        <f t="shared" si="4"/>
        <v/>
      </c>
      <c r="I67" t="str">
        <f t="shared" si="5"/>
        <v/>
      </c>
    </row>
    <row r="68" spans="6:9" ht="15" customHeight="1" x14ac:dyDescent="0.25">
      <c r="F68" s="52"/>
      <c r="G68" s="52"/>
      <c r="H68" s="53" t="str">
        <f t="shared" si="4"/>
        <v/>
      </c>
      <c r="I68" t="str">
        <f t="shared" si="5"/>
        <v/>
      </c>
    </row>
    <row r="69" spans="6:9" ht="15" customHeight="1" x14ac:dyDescent="0.25">
      <c r="F69" s="52"/>
      <c r="G69" s="52"/>
      <c r="H69" s="53" t="str">
        <f t="shared" si="4"/>
        <v/>
      </c>
      <c r="I69" t="str">
        <f t="shared" si="5"/>
        <v/>
      </c>
    </row>
    <row r="70" spans="6:9" ht="15" customHeight="1" x14ac:dyDescent="0.25">
      <c r="F70" s="52"/>
      <c r="G70" s="52"/>
      <c r="H70" s="53" t="str">
        <f t="shared" si="4"/>
        <v/>
      </c>
      <c r="I70" t="str">
        <f t="shared" si="5"/>
        <v/>
      </c>
    </row>
    <row r="71" spans="6:9" ht="15" customHeight="1" x14ac:dyDescent="0.25">
      <c r="F71" s="52"/>
      <c r="G71" s="52"/>
      <c r="H71" s="53" t="str">
        <f t="shared" si="4"/>
        <v/>
      </c>
      <c r="I71" t="str">
        <f t="shared" si="5"/>
        <v/>
      </c>
    </row>
    <row r="72" spans="6:9" ht="15" customHeight="1" x14ac:dyDescent="0.25">
      <c r="F72" s="52"/>
      <c r="G72" s="52"/>
      <c r="H72" s="53" t="str">
        <f t="shared" si="4"/>
        <v/>
      </c>
      <c r="I72" t="str">
        <f t="shared" si="5"/>
        <v/>
      </c>
    </row>
    <row r="73" spans="6:9" ht="15" customHeight="1" x14ac:dyDescent="0.25">
      <c r="F73" s="52"/>
      <c r="G73" s="52"/>
      <c r="H73" s="53" t="str">
        <f t="shared" si="4"/>
        <v/>
      </c>
      <c r="I73" t="str">
        <f t="shared" si="5"/>
        <v/>
      </c>
    </row>
    <row r="74" spans="6:9" ht="15" customHeight="1" x14ac:dyDescent="0.25">
      <c r="F74" s="52"/>
      <c r="G74" s="52"/>
      <c r="H74" s="53" t="str">
        <f t="shared" si="4"/>
        <v/>
      </c>
      <c r="I74" t="str">
        <f t="shared" si="5"/>
        <v/>
      </c>
    </row>
    <row r="75" spans="6:9" ht="15" customHeight="1" x14ac:dyDescent="0.25">
      <c r="F75" s="52"/>
      <c r="G75" s="52"/>
      <c r="H75" s="53" t="str">
        <f t="shared" si="4"/>
        <v/>
      </c>
      <c r="I75" t="str">
        <f t="shared" si="5"/>
        <v/>
      </c>
    </row>
    <row r="76" spans="6:9" ht="15" customHeight="1" x14ac:dyDescent="0.25">
      <c r="F76" s="52"/>
      <c r="G76" s="52"/>
      <c r="H76" s="53" t="str">
        <f t="shared" si="4"/>
        <v/>
      </c>
      <c r="I76" t="str">
        <f t="shared" si="5"/>
        <v/>
      </c>
    </row>
    <row r="77" spans="6:9" ht="15" customHeight="1" x14ac:dyDescent="0.25">
      <c r="F77" s="52"/>
      <c r="G77" s="52"/>
      <c r="H77" s="53" t="str">
        <f t="shared" si="4"/>
        <v/>
      </c>
      <c r="I77" t="str">
        <f t="shared" si="5"/>
        <v/>
      </c>
    </row>
    <row r="78" spans="6:9" ht="15" customHeight="1" x14ac:dyDescent="0.25">
      <c r="F78" s="52"/>
      <c r="G78" s="52"/>
      <c r="H78" s="53" t="str">
        <f t="shared" ref="H78:H109" si="6">IF(OR(F78="",G78=""),"", (G78-F78)*1440)</f>
        <v/>
      </c>
      <c r="I78" t="str">
        <f t="shared" ref="I78:I109" si="7">IF(H78="","",IF(H78&lt;= $H$2,"Y","N"))</f>
        <v/>
      </c>
    </row>
    <row r="79" spans="6:9" ht="15" customHeight="1" x14ac:dyDescent="0.25">
      <c r="F79" s="52"/>
      <c r="G79" s="52"/>
      <c r="H79" s="53" t="str">
        <f t="shared" si="6"/>
        <v/>
      </c>
      <c r="I79" t="str">
        <f t="shared" si="7"/>
        <v/>
      </c>
    </row>
    <row r="80" spans="6:9" ht="15" customHeight="1" x14ac:dyDescent="0.25">
      <c r="F80" s="52"/>
      <c r="G80" s="52"/>
      <c r="H80" s="53" t="str">
        <f t="shared" si="6"/>
        <v/>
      </c>
      <c r="I80" t="str">
        <f t="shared" si="7"/>
        <v/>
      </c>
    </row>
    <row r="81" spans="6:9" ht="15" customHeight="1" x14ac:dyDescent="0.25">
      <c r="F81" s="52"/>
      <c r="G81" s="52"/>
      <c r="H81" s="53" t="str">
        <f t="shared" si="6"/>
        <v/>
      </c>
      <c r="I81" t="str">
        <f t="shared" si="7"/>
        <v/>
      </c>
    </row>
    <row r="82" spans="6:9" ht="15" customHeight="1" x14ac:dyDescent="0.25">
      <c r="F82" s="52"/>
      <c r="G82" s="52"/>
      <c r="H82" s="53" t="str">
        <f t="shared" si="6"/>
        <v/>
      </c>
      <c r="I82" t="str">
        <f t="shared" si="7"/>
        <v/>
      </c>
    </row>
    <row r="83" spans="6:9" ht="15" customHeight="1" x14ac:dyDescent="0.25">
      <c r="F83" s="52"/>
      <c r="G83" s="52"/>
      <c r="H83" s="53" t="str">
        <f t="shared" si="6"/>
        <v/>
      </c>
      <c r="I83" t="str">
        <f t="shared" si="7"/>
        <v/>
      </c>
    </row>
    <row r="84" spans="6:9" ht="15" customHeight="1" x14ac:dyDescent="0.25">
      <c r="F84" s="52"/>
      <c r="G84" s="52"/>
      <c r="H84" s="53" t="str">
        <f t="shared" si="6"/>
        <v/>
      </c>
      <c r="I84" t="str">
        <f t="shared" si="7"/>
        <v/>
      </c>
    </row>
    <row r="85" spans="6:9" ht="15" customHeight="1" x14ac:dyDescent="0.25">
      <c r="F85" s="52"/>
      <c r="G85" s="52"/>
      <c r="H85" s="53" t="str">
        <f t="shared" si="6"/>
        <v/>
      </c>
      <c r="I85" t="str">
        <f t="shared" si="7"/>
        <v/>
      </c>
    </row>
    <row r="86" spans="6:9" ht="15" customHeight="1" x14ac:dyDescent="0.25">
      <c r="F86" s="52"/>
      <c r="G86" s="52"/>
      <c r="H86" s="53" t="str">
        <f t="shared" si="6"/>
        <v/>
      </c>
      <c r="I86" t="str">
        <f t="shared" si="7"/>
        <v/>
      </c>
    </row>
    <row r="87" spans="6:9" ht="15" customHeight="1" x14ac:dyDescent="0.25">
      <c r="F87" s="52"/>
      <c r="G87" s="52"/>
      <c r="H87" s="53" t="str">
        <f t="shared" si="6"/>
        <v/>
      </c>
      <c r="I87" t="str">
        <f t="shared" si="7"/>
        <v/>
      </c>
    </row>
    <row r="88" spans="6:9" ht="15" customHeight="1" x14ac:dyDescent="0.25">
      <c r="F88" s="52"/>
      <c r="G88" s="52"/>
      <c r="H88" s="53" t="str">
        <f t="shared" si="6"/>
        <v/>
      </c>
      <c r="I88" t="str">
        <f t="shared" si="7"/>
        <v/>
      </c>
    </row>
    <row r="89" spans="6:9" ht="15" customHeight="1" x14ac:dyDescent="0.25">
      <c r="F89" s="52"/>
      <c r="G89" s="52"/>
      <c r="H89" s="53" t="str">
        <f t="shared" si="6"/>
        <v/>
      </c>
      <c r="I89" t="str">
        <f t="shared" si="7"/>
        <v/>
      </c>
    </row>
    <row r="90" spans="6:9" ht="15" customHeight="1" x14ac:dyDescent="0.25">
      <c r="F90" s="52"/>
      <c r="G90" s="52"/>
      <c r="H90" s="53" t="str">
        <f t="shared" si="6"/>
        <v/>
      </c>
      <c r="I90" t="str">
        <f t="shared" si="7"/>
        <v/>
      </c>
    </row>
    <row r="91" spans="6:9" ht="15" customHeight="1" x14ac:dyDescent="0.25">
      <c r="F91" s="52"/>
      <c r="G91" s="52"/>
      <c r="H91" s="53" t="str">
        <f t="shared" si="6"/>
        <v/>
      </c>
      <c r="I91" t="str">
        <f t="shared" si="7"/>
        <v/>
      </c>
    </row>
    <row r="92" spans="6:9" ht="15" customHeight="1" x14ac:dyDescent="0.25">
      <c r="F92" s="52"/>
      <c r="G92" s="52"/>
      <c r="H92" s="53" t="str">
        <f t="shared" si="6"/>
        <v/>
      </c>
      <c r="I92" t="str">
        <f t="shared" si="7"/>
        <v/>
      </c>
    </row>
    <row r="93" spans="6:9" ht="15" customHeight="1" x14ac:dyDescent="0.25">
      <c r="F93" s="52"/>
      <c r="G93" s="52"/>
      <c r="H93" s="53" t="str">
        <f t="shared" si="6"/>
        <v/>
      </c>
      <c r="I93" t="str">
        <f t="shared" si="7"/>
        <v/>
      </c>
    </row>
    <row r="94" spans="6:9" ht="15" customHeight="1" x14ac:dyDescent="0.25">
      <c r="F94" s="52"/>
      <c r="G94" s="52"/>
      <c r="H94" s="53" t="str">
        <f t="shared" si="6"/>
        <v/>
      </c>
      <c r="I94" t="str">
        <f t="shared" si="7"/>
        <v/>
      </c>
    </row>
    <row r="95" spans="6:9" ht="15" customHeight="1" x14ac:dyDescent="0.25">
      <c r="F95" s="52"/>
      <c r="G95" s="52"/>
      <c r="H95" s="53" t="str">
        <f t="shared" si="6"/>
        <v/>
      </c>
      <c r="I95" t="str">
        <f t="shared" si="7"/>
        <v/>
      </c>
    </row>
    <row r="96" spans="6:9" ht="15" customHeight="1" x14ac:dyDescent="0.25">
      <c r="F96" s="52"/>
      <c r="G96" s="52"/>
      <c r="H96" s="53" t="str">
        <f t="shared" si="6"/>
        <v/>
      </c>
      <c r="I96" t="str">
        <f t="shared" si="7"/>
        <v/>
      </c>
    </row>
    <row r="97" spans="6:9" ht="15" customHeight="1" x14ac:dyDescent="0.25">
      <c r="F97" s="52"/>
      <c r="G97" s="52"/>
      <c r="H97" s="53" t="str">
        <f t="shared" si="6"/>
        <v/>
      </c>
      <c r="I97" t="str">
        <f t="shared" si="7"/>
        <v/>
      </c>
    </row>
    <row r="98" spans="6:9" ht="15" customHeight="1" x14ac:dyDescent="0.25">
      <c r="F98" s="52"/>
      <c r="G98" s="52"/>
      <c r="H98" s="53" t="str">
        <f t="shared" si="6"/>
        <v/>
      </c>
      <c r="I98" t="str">
        <f t="shared" si="7"/>
        <v/>
      </c>
    </row>
    <row r="99" spans="6:9" ht="15" customHeight="1" x14ac:dyDescent="0.25">
      <c r="F99" s="52"/>
      <c r="G99" s="52"/>
      <c r="H99" s="53" t="str">
        <f t="shared" si="6"/>
        <v/>
      </c>
      <c r="I99" t="str">
        <f t="shared" si="7"/>
        <v/>
      </c>
    </row>
    <row r="100" spans="6:9" ht="15" customHeight="1" x14ac:dyDescent="0.25">
      <c r="F100" s="52"/>
      <c r="G100" s="52"/>
      <c r="H100" s="53" t="str">
        <f t="shared" si="6"/>
        <v/>
      </c>
      <c r="I100" t="str">
        <f t="shared" si="7"/>
        <v/>
      </c>
    </row>
  </sheetData>
  <mergeCells count="3">
    <mergeCell ref="A1:M1"/>
    <mergeCell ref="A4:M4"/>
    <mergeCell ref="A12:M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02"/>
  <sheetViews>
    <sheetView zoomScaleNormal="100" workbookViewId="0">
      <pane ySplit="1" topLeftCell="A2" activePane="bottomLeft" state="frozen"/>
      <selection pane="bottomLeft" activeCell="J14" sqref="J14"/>
    </sheetView>
  </sheetViews>
  <sheetFormatPr defaultColWidth="8.7109375" defaultRowHeight="15" x14ac:dyDescent="0.25"/>
  <cols>
    <col min="1" max="1" width="12" customWidth="1"/>
    <col min="2" max="2" width="8" customWidth="1"/>
    <col min="3" max="3" width="6" customWidth="1"/>
    <col min="4" max="4" width="24" customWidth="1"/>
    <col min="5" max="6" width="18" customWidth="1"/>
    <col min="7" max="7" width="20" customWidth="1"/>
    <col min="8" max="8" width="10" customWidth="1"/>
    <col min="9" max="9" width="20" customWidth="1"/>
    <col min="10" max="11" width="12" customWidth="1"/>
    <col min="12" max="12" width="10" customWidth="1"/>
    <col min="13" max="13" width="12" customWidth="1"/>
    <col min="14" max="14" width="8" customWidth="1"/>
    <col min="15" max="15" width="10" customWidth="1"/>
  </cols>
  <sheetData>
    <row r="1" spans="1:31" ht="30" customHeight="1" x14ac:dyDescent="0.25">
      <c r="A1" s="31" t="s">
        <v>1</v>
      </c>
      <c r="B1" s="31" t="s">
        <v>2</v>
      </c>
      <c r="C1" s="31" t="s">
        <v>19</v>
      </c>
      <c r="D1" s="31" t="s">
        <v>53</v>
      </c>
      <c r="E1" s="31" t="s">
        <v>54</v>
      </c>
      <c r="F1" s="31" t="s">
        <v>121</v>
      </c>
      <c r="G1" s="31" t="s">
        <v>122</v>
      </c>
      <c r="H1" s="31" t="s">
        <v>123</v>
      </c>
      <c r="I1" s="31" t="s">
        <v>47</v>
      </c>
      <c r="J1" s="31" t="s">
        <v>124</v>
      </c>
      <c r="K1" s="31" t="s">
        <v>125</v>
      </c>
      <c r="L1" s="31" t="s">
        <v>126</v>
      </c>
      <c r="M1" s="31" t="s">
        <v>127</v>
      </c>
      <c r="N1" s="31" t="s">
        <v>128</v>
      </c>
      <c r="O1" s="31" t="s">
        <v>12</v>
      </c>
    </row>
    <row r="2" spans="1:31" ht="15" customHeight="1" x14ac:dyDescent="0.25">
      <c r="A2" s="54">
        <f>PASSDOWN!B2</f>
        <v>46078</v>
      </c>
      <c r="B2" s="32" t="str">
        <f>PASSDOWN!E2</f>
        <v>3rd</v>
      </c>
      <c r="C2" s="32">
        <v>1</v>
      </c>
      <c r="D2" s="32" t="s">
        <v>129</v>
      </c>
      <c r="E2" s="32" t="s">
        <v>130</v>
      </c>
      <c r="F2" s="32" t="s">
        <v>130</v>
      </c>
      <c r="G2" s="32"/>
      <c r="H2" s="32" t="s">
        <v>131</v>
      </c>
      <c r="I2" s="32"/>
      <c r="J2" s="32" t="str">
        <f>IF(OR(A2="",B2="",C2="",G2=""),"",SUMIFS(EVENTS!$G$5:$G$204,EVENTS!$A$5:$A$204,A2,EVENTS!$B$5:$B$204,B2,EVENTS!$C$5:$C$204,C2,EVENTS!$H$5:$H$204,G2))</f>
        <v/>
      </c>
      <c r="K2" s="35" t="str">
        <f>IF(J2="","",MAX(0,1-J2/IF(PASSDOWN!$U$2="",720,PASSDOWN!$U$2)))</f>
        <v/>
      </c>
      <c r="L2" s="35">
        <f>IFERROR(INDEX(PASSDOWN!$G$11:$G$15,MATCH(C2,PASSDOWN!$A$11:$A$15,0)),"")</f>
        <v>0</v>
      </c>
      <c r="M2" s="33" t="str">
        <f t="shared" ref="M2:M66" si="0">IF(OR(K2="",L2=""),"",ROUND(100*K2*IF(L2&gt;1,L2/100,L2),0))</f>
        <v/>
      </c>
      <c r="N2" s="32" t="str">
        <f t="shared" ref="N2:N66" si="1">IF(M2="","",IF(M2&gt;=90,"A",IF(M2&gt;=80,"B",IF(M2&gt;=70,"C",IF(M2&gt;=60,"D","F")))))</f>
        <v/>
      </c>
      <c r="O2" s="32" t="s">
        <v>132</v>
      </c>
      <c r="W2" s="25" t="s">
        <v>48</v>
      </c>
      <c r="X2" s="26"/>
      <c r="Y2" s="26"/>
      <c r="Z2" s="26"/>
      <c r="AA2" s="26"/>
      <c r="AB2" s="26"/>
      <c r="AC2" s="26"/>
      <c r="AD2" s="26"/>
      <c r="AE2" s="26"/>
    </row>
    <row r="3" spans="1:31" ht="15" customHeight="1" x14ac:dyDescent="0.25">
      <c r="A3" s="54">
        <f>PASSDOWN!B2</f>
        <v>46078</v>
      </c>
      <c r="B3" s="32" t="str">
        <f>PASSDOWN!E2</f>
        <v>3rd</v>
      </c>
      <c r="C3" s="32">
        <v>1</v>
      </c>
      <c r="D3" s="32" t="s">
        <v>133</v>
      </c>
      <c r="E3" s="32" t="s">
        <v>134</v>
      </c>
      <c r="F3" s="32" t="s">
        <v>134</v>
      </c>
      <c r="G3" s="32"/>
      <c r="H3" s="32" t="s">
        <v>131</v>
      </c>
      <c r="I3" s="32"/>
      <c r="J3" s="32" t="str">
        <f>IF(OR(A3="",B3="",C3="",G3=""),"",SUMIFS(EVENTS!$G$5:$G$204,EVENTS!$A$5:$A$204,A3,EVENTS!$B$5:$B$204,B3,EVENTS!$C$5:$C$204,C3,EVENTS!$H$5:$H$204,G3))</f>
        <v/>
      </c>
      <c r="K3" s="35" t="str">
        <f>IF(J3="","",MAX(0,1-J3/IF(PASSDOWN!$U$2="",720,PASSDOWN!$U$2)))</f>
        <v/>
      </c>
      <c r="L3" s="35">
        <f>IFERROR(INDEX(PASSDOWN!$G$11:$G$15,MATCH(C3,PASSDOWN!$A$11:$A$15,0)),"")</f>
        <v>0</v>
      </c>
      <c r="M3" s="33" t="str">
        <f t="shared" si="0"/>
        <v/>
      </c>
      <c r="N3" s="32" t="str">
        <f t="shared" si="1"/>
        <v/>
      </c>
      <c r="O3" s="32" t="s">
        <v>132</v>
      </c>
      <c r="W3" s="28" t="s">
        <v>49</v>
      </c>
      <c r="X3" s="28">
        <f>COUNTA(CREW_LOG!D2:D53)</f>
        <v>52</v>
      </c>
      <c r="Y3" s="28" t="s">
        <v>50</v>
      </c>
      <c r="Z3" s="28">
        <f>COUNTIF(CREW_LOG!H2:H53,"Y")</f>
        <v>51</v>
      </c>
      <c r="AA3" s="28" t="s">
        <v>51</v>
      </c>
      <c r="AB3" s="29">
        <f>COUNTIF(CREW_LOG!H2:H53,"N")</f>
        <v>0</v>
      </c>
      <c r="AC3" s="28" t="s">
        <v>12</v>
      </c>
      <c r="AD3" s="30">
        <f>COUNTIF(CREW_LOG!O2:O53,"Y")</f>
        <v>18</v>
      </c>
      <c r="AE3" s="26"/>
    </row>
    <row r="4" spans="1:31" ht="15" customHeight="1" x14ac:dyDescent="0.25">
      <c r="A4" s="54">
        <f>PASSDOWN!B2</f>
        <v>46078</v>
      </c>
      <c r="B4" s="32" t="str">
        <f>PASSDOWN!E2</f>
        <v>3rd</v>
      </c>
      <c r="C4" s="32">
        <v>1</v>
      </c>
      <c r="D4" s="119" t="s">
        <v>345</v>
      </c>
      <c r="E4" s="32" t="s">
        <v>136</v>
      </c>
      <c r="F4" s="32" t="s">
        <v>136</v>
      </c>
      <c r="G4" s="32"/>
      <c r="H4" s="32" t="s">
        <v>131</v>
      </c>
      <c r="I4" s="32"/>
      <c r="J4" s="32" t="str">
        <f>IF(OR(A4="",B4="",C4="",G4=""),"",SUMIFS(EVENTS!$G$5:$G$204,EVENTS!$A$5:$A$204,A4,EVENTS!$B$5:$B$204,B4,EVENTS!$C$5:$C$204,C4,EVENTS!$H$5:$H$204,G4))</f>
        <v/>
      </c>
      <c r="K4" s="35" t="str">
        <f>IF(J4="","",MAX(0,1-J4/IF(PASSDOWN!$U$2="",720,PASSDOWN!$U$2)))</f>
        <v/>
      </c>
      <c r="L4" s="35">
        <f>IFERROR(INDEX(PASSDOWN!$G$11:$G$15,MATCH(C4,PASSDOWN!$A$11:$A$15,0)),"")</f>
        <v>0</v>
      </c>
      <c r="M4" s="33" t="str">
        <f t="shared" si="0"/>
        <v/>
      </c>
      <c r="N4" s="32" t="str">
        <f t="shared" si="1"/>
        <v/>
      </c>
      <c r="O4" s="32" t="s">
        <v>131</v>
      </c>
      <c r="W4" s="26"/>
      <c r="X4" s="26"/>
      <c r="Y4" s="26"/>
      <c r="Z4" s="26"/>
      <c r="AA4" s="26"/>
      <c r="AB4" s="26"/>
      <c r="AC4" s="26"/>
      <c r="AD4" s="26"/>
      <c r="AE4" s="26"/>
    </row>
    <row r="5" spans="1:31" ht="15" customHeight="1" x14ac:dyDescent="0.25">
      <c r="A5" s="54">
        <f>PASSDOWN!B2</f>
        <v>46078</v>
      </c>
      <c r="B5" s="32" t="str">
        <f>PASSDOWN!E2</f>
        <v>3rd</v>
      </c>
      <c r="C5" s="32">
        <v>1</v>
      </c>
      <c r="D5" s="32" t="s">
        <v>137</v>
      </c>
      <c r="E5" s="32" t="s">
        <v>138</v>
      </c>
      <c r="F5" s="32" t="s">
        <v>138</v>
      </c>
      <c r="G5" s="32"/>
      <c r="H5" s="32" t="s">
        <v>131</v>
      </c>
      <c r="I5" s="32"/>
      <c r="J5" s="32" t="str">
        <f>IF(OR(A5="",B5="",C5="",G5=""),"",SUMIFS(EVENTS!$G$5:$G$204,EVENTS!$A$5:$A$204,A5,EVENTS!$B$5:$B$204,B5,EVENTS!$C$5:$C$204,C5,EVENTS!$H$5:$H$204,G5))</f>
        <v/>
      </c>
      <c r="K5" s="35" t="str">
        <f>IF(J5="","",MAX(0,1-J5/IF(PASSDOWN!$U$2="",720,PASSDOWN!$U$2)))</f>
        <v/>
      </c>
      <c r="L5" s="35">
        <f>IFERROR(INDEX(PASSDOWN!$G$11:$G$15,MATCH(C5,PASSDOWN!$A$11:$A$15,0)),"")</f>
        <v>0</v>
      </c>
      <c r="M5" s="33" t="str">
        <f t="shared" si="0"/>
        <v/>
      </c>
      <c r="N5" s="32" t="str">
        <f t="shared" si="1"/>
        <v/>
      </c>
      <c r="O5" s="32" t="s">
        <v>132</v>
      </c>
      <c r="W5" s="31" t="s">
        <v>19</v>
      </c>
      <c r="X5" s="31" t="s">
        <v>52</v>
      </c>
      <c r="Y5" s="31" t="s">
        <v>53</v>
      </c>
      <c r="Z5" s="31" t="s">
        <v>54</v>
      </c>
      <c r="AA5" s="31" t="s">
        <v>55</v>
      </c>
      <c r="AB5" s="31" t="s">
        <v>50</v>
      </c>
      <c r="AC5" s="31" t="s">
        <v>47</v>
      </c>
      <c r="AD5" s="27"/>
      <c r="AE5" s="27"/>
    </row>
    <row r="6" spans="1:31" ht="15" customHeight="1" x14ac:dyDescent="0.25">
      <c r="A6" s="54">
        <f>PASSDOWN!B2</f>
        <v>46078</v>
      </c>
      <c r="B6" s="32" t="str">
        <f>PASSDOWN!E2</f>
        <v>3rd</v>
      </c>
      <c r="C6" s="32">
        <v>1</v>
      </c>
      <c r="D6" s="32" t="s">
        <v>139</v>
      </c>
      <c r="E6" s="32" t="s">
        <v>140</v>
      </c>
      <c r="F6" s="32" t="s">
        <v>140</v>
      </c>
      <c r="G6" s="32"/>
      <c r="H6" s="32" t="s">
        <v>131</v>
      </c>
      <c r="I6" s="32"/>
      <c r="J6" s="32" t="str">
        <f>IF(OR(A6="",B6="",C6="",G6=""),"",SUMIFS(EVENTS!$G$5:$G$204,EVENTS!$A$5:$A$204,A6,EVENTS!$B$5:$B$204,B6,EVENTS!$C$5:$C$204,C6,EVENTS!$H$5:$H$204,G6))</f>
        <v/>
      </c>
      <c r="K6" s="35" t="str">
        <f>IF(J6="","",MAX(0,1-J6/IF(PASSDOWN!$U$2="",720,PASSDOWN!$U$2)))</f>
        <v/>
      </c>
      <c r="L6" s="35">
        <f>IFERROR(INDEX(PASSDOWN!$G$11:$G$15,MATCH(C6,PASSDOWN!$A$11:$A$15,0)),"")</f>
        <v>0</v>
      </c>
      <c r="M6" s="33" t="str">
        <f t="shared" si="0"/>
        <v/>
      </c>
      <c r="N6" s="32" t="str">
        <f t="shared" si="1"/>
        <v/>
      </c>
      <c r="O6" s="32" t="s">
        <v>132</v>
      </c>
      <c r="W6" s="32">
        <f>CREW_LOG!C2</f>
        <v>1</v>
      </c>
      <c r="X6" s="32" t="str">
        <f>IFERROR(INDEX(#REF!,MATCH(CREW_LOG!C2,#REF!,0)),"")</f>
        <v/>
      </c>
      <c r="Y6" s="32" t="str">
        <f>CREW_LOG!D2</f>
        <v>Reuben Callamco</v>
      </c>
      <c r="Z6" s="33" t="str">
        <f>CREW_LOG!E2</f>
        <v>Checker</v>
      </c>
      <c r="AA6" s="32" t="str">
        <f>CREW_LOG!O2</f>
        <v>N</v>
      </c>
      <c r="AB6" s="32" t="str">
        <f>CREW_LOG!H2</f>
        <v>Y</v>
      </c>
      <c r="AC6" s="32">
        <f>CREW_LOG!I2</f>
        <v>0</v>
      </c>
      <c r="AD6" s="34"/>
      <c r="AE6" s="27"/>
    </row>
    <row r="7" spans="1:31" ht="15" customHeight="1" x14ac:dyDescent="0.25">
      <c r="A7" s="54">
        <f>PASSDOWN!B2</f>
        <v>46078</v>
      </c>
      <c r="B7" s="32" t="str">
        <f>PASSDOWN!E2</f>
        <v>3rd</v>
      </c>
      <c r="C7" s="32">
        <v>1</v>
      </c>
      <c r="D7" s="186" t="s">
        <v>135</v>
      </c>
      <c r="E7" s="32" t="s">
        <v>239</v>
      </c>
      <c r="F7" s="32"/>
      <c r="G7" s="32"/>
      <c r="H7" s="32"/>
      <c r="I7" s="32"/>
      <c r="J7" s="32"/>
      <c r="K7" s="35"/>
      <c r="L7" s="35">
        <f>IFERROR(INDEX(PASSDOWN!$G$11:$G$15,MATCH(C7,PASSDOWN!$A$11:$A$15,0)),"")</f>
        <v>0</v>
      </c>
      <c r="M7" s="33"/>
      <c r="N7" s="32"/>
      <c r="O7" s="32" t="s">
        <v>131</v>
      </c>
      <c r="W7" s="32">
        <f>CREW_LOG!C3</f>
        <v>1</v>
      </c>
      <c r="X7" s="32" t="str">
        <f>IFERROR(INDEX(#REF!,MATCH(CREW_LOG!C3,#REF!,0)),"")</f>
        <v/>
      </c>
      <c r="Y7" s="32" t="str">
        <f>CREW_LOG!D3</f>
        <v>Maria Balzcar</v>
      </c>
      <c r="Z7" s="32" t="str">
        <f>CREW_LOG!E3</f>
        <v>Labeler</v>
      </c>
      <c r="AA7" s="32" t="str">
        <f>CREW_LOG!O3</f>
        <v>N</v>
      </c>
      <c r="AB7" s="32" t="str">
        <f>CREW_LOG!H3</f>
        <v>Y</v>
      </c>
      <c r="AC7" s="32">
        <f>CREW_LOG!I3</f>
        <v>0</v>
      </c>
      <c r="AD7" s="27"/>
      <c r="AE7" s="27"/>
    </row>
    <row r="8" spans="1:31" ht="15" customHeight="1" x14ac:dyDescent="0.25">
      <c r="A8" s="54">
        <f>PASSDOWN!B2</f>
        <v>46078</v>
      </c>
      <c r="B8" s="32" t="str">
        <f>PASSDOWN!E2</f>
        <v>3rd</v>
      </c>
      <c r="C8" s="32">
        <v>1</v>
      </c>
      <c r="D8" s="32" t="s">
        <v>141</v>
      </c>
      <c r="E8" s="32" t="s">
        <v>142</v>
      </c>
      <c r="F8" s="32" t="s">
        <v>142</v>
      </c>
      <c r="G8" s="32"/>
      <c r="H8" s="32" t="s">
        <v>131</v>
      </c>
      <c r="I8" s="32"/>
      <c r="J8" s="32" t="str">
        <f>IF(OR(A8="",B8="",C8="",G8=""),"",SUMIFS(EVENTS!$G$5:$G$204,EVENTS!$A$5:$A$204,A8,EVENTS!$B$5:$B$204,B8,EVENTS!$C$5:$C$204,C8,EVENTS!$H$5:$H$204,G8))</f>
        <v/>
      </c>
      <c r="K8" s="35" t="str">
        <f>IF(J8="","",MAX(0,1-J8/IF(PASSDOWN!$U$2="",720,PASSDOWN!$U$2)))</f>
        <v/>
      </c>
      <c r="L8" s="35">
        <f>IFERROR(INDEX(PASSDOWN!$G$11:$G$15,MATCH(C8,PASSDOWN!$A$11:$A$15,0)),"")</f>
        <v>0</v>
      </c>
      <c r="M8" s="33" t="str">
        <f t="shared" si="0"/>
        <v/>
      </c>
      <c r="N8" s="32" t="str">
        <f t="shared" si="1"/>
        <v/>
      </c>
      <c r="O8" s="32" t="s">
        <v>132</v>
      </c>
      <c r="W8" s="32">
        <f>CREW_LOG!C4</f>
        <v>1</v>
      </c>
      <c r="X8" s="32" t="str">
        <f>IFERROR(INDEX(#REF!,MATCH(CREW_LOG!C4,#REF!,0)),"")</f>
        <v/>
      </c>
      <c r="Y8" s="32" t="str">
        <f>CREW_LOG!D4</f>
        <v>Alan</v>
      </c>
      <c r="Z8" s="32" t="str">
        <f>CREW_LOG!E4</f>
        <v>Caser</v>
      </c>
      <c r="AA8" s="32" t="str">
        <f>CREW_LOG!O4</f>
        <v>Y</v>
      </c>
      <c r="AB8" s="32" t="str">
        <f>CREW_LOG!H4</f>
        <v>Y</v>
      </c>
      <c r="AC8" s="32">
        <f>CREW_LOG!I4</f>
        <v>0</v>
      </c>
      <c r="AD8" s="27"/>
      <c r="AE8" s="27"/>
    </row>
    <row r="9" spans="1:31" ht="15" customHeight="1" x14ac:dyDescent="0.25">
      <c r="A9" s="54">
        <f>PASSDOWN!B2</f>
        <v>46078</v>
      </c>
      <c r="B9" s="32" t="str">
        <f>PASSDOWN!E2</f>
        <v>3rd</v>
      </c>
      <c r="C9" s="32">
        <v>1</v>
      </c>
      <c r="D9" s="32" t="s">
        <v>143</v>
      </c>
      <c r="E9" s="32" t="s">
        <v>144</v>
      </c>
      <c r="F9" s="32" t="s">
        <v>144</v>
      </c>
      <c r="G9" s="32"/>
      <c r="H9" s="32" t="s">
        <v>131</v>
      </c>
      <c r="I9" s="32"/>
      <c r="J9" s="32" t="str">
        <f>IF(OR(A9="",B9="",C9="",G9=""),"",SUMIFS(EVENTS!$G$5:$G$204,EVENTS!$A$5:$A$204,A9,EVENTS!$B$5:$B$204,B9,EVENTS!$C$5:$C$204,C9,EVENTS!$H$5:$H$204,G9))</f>
        <v/>
      </c>
      <c r="K9" s="35" t="str">
        <f>IF(J9="","",MAX(0,1-J9/IF(PASSDOWN!$U$2="",720,PASSDOWN!$U$2)))</f>
        <v/>
      </c>
      <c r="L9" s="35">
        <f>IFERROR(INDEX(PASSDOWN!$G$11:$G$15,MATCH(C9,PASSDOWN!$A$11:$A$15,0)),"")</f>
        <v>0</v>
      </c>
      <c r="M9" s="33" t="str">
        <f t="shared" si="0"/>
        <v/>
      </c>
      <c r="N9" s="32" t="str">
        <f t="shared" si="1"/>
        <v/>
      </c>
      <c r="O9" s="32" t="s">
        <v>132</v>
      </c>
      <c r="W9" s="32">
        <f>CREW_LOG!C5</f>
        <v>1</v>
      </c>
      <c r="X9" s="32" t="str">
        <f>IFERROR(INDEX(#REF!,MATCH(CREW_LOG!C5,#REF!,0)),"")</f>
        <v/>
      </c>
      <c r="Y9" s="32" t="str">
        <f>CREW_LOG!D5</f>
        <v>Angelica Munoz</v>
      </c>
      <c r="Z9" s="32" t="str">
        <f>CREW_LOG!E5</f>
        <v>Shrink Tunnel</v>
      </c>
      <c r="AA9" s="32" t="str">
        <f>CREW_LOG!O5</f>
        <v>N</v>
      </c>
      <c r="AB9" s="32" t="str">
        <f>CREW_LOG!H5</f>
        <v>Y</v>
      </c>
      <c r="AC9" s="32">
        <f>CREW_LOG!I5</f>
        <v>0</v>
      </c>
      <c r="AD9" s="26"/>
      <c r="AE9" s="26"/>
    </row>
    <row r="10" spans="1:31" ht="15" customHeight="1" x14ac:dyDescent="0.25">
      <c r="A10" s="54">
        <f>PASSDOWN!B2</f>
        <v>46078</v>
      </c>
      <c r="B10" s="32" t="str">
        <f>PASSDOWN!E2</f>
        <v>3rd</v>
      </c>
      <c r="C10" s="32">
        <v>2</v>
      </c>
      <c r="D10" s="32" t="s">
        <v>145</v>
      </c>
      <c r="E10" s="32" t="s">
        <v>130</v>
      </c>
      <c r="F10" s="32" t="s">
        <v>130</v>
      </c>
      <c r="G10" s="32"/>
      <c r="H10" s="32" t="s">
        <v>131</v>
      </c>
      <c r="I10" s="32"/>
      <c r="J10" s="32" t="str">
        <f>IF(OR(A10="",B10="",C10="",G10=""),"",SUMIFS(EVENTS!$G$5:$G$204,EVENTS!$A$5:$A$204,A10,EVENTS!$B$5:$B$204,B10,EVENTS!$C$5:$C$204,C10,EVENTS!$H$5:$H$204,G10))</f>
        <v/>
      </c>
      <c r="K10" s="35" t="str">
        <f>IF(J10="","",MAX(0,1-J10/IF(PASSDOWN!$U$2="",720,PASSDOWN!$U$2)))</f>
        <v/>
      </c>
      <c r="L10" s="35">
        <f>IFERROR(INDEX(PASSDOWN!$G$11:$G$15,MATCH(C10,PASSDOWN!$A$11:$A$15,0)),"")</f>
        <v>0</v>
      </c>
      <c r="M10" s="33" t="str">
        <f t="shared" si="0"/>
        <v/>
      </c>
      <c r="N10" s="32" t="str">
        <f t="shared" si="1"/>
        <v/>
      </c>
      <c r="O10" s="32" t="s">
        <v>132</v>
      </c>
      <c r="W10" s="32">
        <f>CREW_LOG!C6</f>
        <v>1</v>
      </c>
      <c r="X10" s="32" t="str">
        <f>IFERROR(INDEX(#REF!,MATCH(CREW_LOG!C6,#REF!,0)),"")</f>
        <v/>
      </c>
      <c r="Y10" s="32" t="str">
        <f>CREW_LOG!D6</f>
        <v>Maria Graciano</v>
      </c>
      <c r="Z10" s="32" t="str">
        <f>CREW_LOG!E6</f>
        <v>Palletizer</v>
      </c>
      <c r="AA10" s="32" t="str">
        <f>CREW_LOG!O6</f>
        <v>N</v>
      </c>
      <c r="AB10" s="32" t="str">
        <f>CREW_LOG!H6</f>
        <v>Y</v>
      </c>
      <c r="AC10" s="35">
        <f>CREW_LOG!I6</f>
        <v>0</v>
      </c>
      <c r="AD10" s="36"/>
      <c r="AE10" s="34"/>
    </row>
    <row r="11" spans="1:31" ht="15" customHeight="1" x14ac:dyDescent="0.25">
      <c r="A11" s="54">
        <f>PASSDOWN!B2</f>
        <v>46078</v>
      </c>
      <c r="B11" s="32" t="str">
        <f>PASSDOWN!E2</f>
        <v>3rd</v>
      </c>
      <c r="C11" s="32">
        <v>2</v>
      </c>
      <c r="D11" s="32" t="s">
        <v>146</v>
      </c>
      <c r="E11" s="32" t="s">
        <v>147</v>
      </c>
      <c r="F11" s="32" t="s">
        <v>147</v>
      </c>
      <c r="G11" s="32"/>
      <c r="H11" s="32" t="s">
        <v>131</v>
      </c>
      <c r="I11" s="32"/>
      <c r="J11" s="32" t="str">
        <f>IF(OR(A11="",B11="",C11="",G11=""),"",SUMIFS(EVENTS!$G$5:$G$204,EVENTS!$A$5:$A$204,A11,EVENTS!$B$5:$B$204,B11,EVENTS!$C$5:$C$204,C11,EVENTS!$H$5:$H$204,G11))</f>
        <v/>
      </c>
      <c r="K11" s="35" t="str">
        <f>IF(J11="","",MAX(0,1-J11/IF(PASSDOWN!$U$2="",720,PASSDOWN!$U$2)))</f>
        <v/>
      </c>
      <c r="L11" s="35">
        <f>IFERROR(INDEX(PASSDOWN!$G$11:$G$15,MATCH(C11,PASSDOWN!$A$11:$A$15,0)),"")</f>
        <v>0</v>
      </c>
      <c r="M11" s="33" t="str">
        <f t="shared" si="0"/>
        <v/>
      </c>
      <c r="N11" s="32" t="str">
        <f t="shared" si="1"/>
        <v/>
      </c>
      <c r="O11" s="32" t="s">
        <v>132</v>
      </c>
      <c r="W11" s="32">
        <f>CREW_LOG!C8</f>
        <v>1</v>
      </c>
      <c r="X11" s="32" t="str">
        <f>IFERROR(INDEX(#REF!,MATCH(CREW_LOG!C8,#REF!,0)),"")</f>
        <v/>
      </c>
      <c r="Y11" s="32" t="str">
        <f>CREW_LOG!D8</f>
        <v>Rodrigo Hernandez</v>
      </c>
      <c r="Z11" s="32" t="str">
        <f>CREW_LOG!E8</f>
        <v>Drive Off</v>
      </c>
      <c r="AA11" s="32" t="str">
        <f>CREW_LOG!O8</f>
        <v>N</v>
      </c>
      <c r="AB11" s="32" t="str">
        <f>CREW_LOG!H8</f>
        <v>Y</v>
      </c>
      <c r="AC11" s="35">
        <f>CREW_LOG!I8</f>
        <v>0</v>
      </c>
      <c r="AD11" s="36"/>
      <c r="AE11" s="34"/>
    </row>
    <row r="12" spans="1:31" ht="15" customHeight="1" x14ac:dyDescent="0.25">
      <c r="A12" s="54">
        <f>PASSDOWN!B2</f>
        <v>46078</v>
      </c>
      <c r="B12" s="32" t="str">
        <f>PASSDOWN!E2</f>
        <v>3rd</v>
      </c>
      <c r="C12" s="32">
        <v>2</v>
      </c>
      <c r="D12" s="32" t="s">
        <v>148</v>
      </c>
      <c r="E12" s="32" t="s">
        <v>149</v>
      </c>
      <c r="F12" s="32" t="s">
        <v>149</v>
      </c>
      <c r="G12" s="32"/>
      <c r="H12" s="32" t="s">
        <v>131</v>
      </c>
      <c r="I12" s="32"/>
      <c r="J12" s="32" t="str">
        <f>IF(OR(A12="",B12="",C12="",G12=""),"",SUMIFS(EVENTS!$G$5:$G$204,EVENTS!$A$5:$A$204,A12,EVENTS!$B$5:$B$204,B12,EVENTS!$C$5:$C$204,C12,EVENTS!$H$5:$H$204,G12))</f>
        <v/>
      </c>
      <c r="K12" s="35" t="str">
        <f>IF(J12="","",MAX(0,1-J12/IF(PASSDOWN!$U$2="",720,PASSDOWN!$U$2)))</f>
        <v/>
      </c>
      <c r="L12" s="35">
        <f>IFERROR(INDEX(PASSDOWN!$G$11:$G$15,MATCH(C12,PASSDOWN!$A$11:$A$15,0)),"")</f>
        <v>0</v>
      </c>
      <c r="M12" s="33" t="str">
        <f t="shared" si="0"/>
        <v/>
      </c>
      <c r="N12" s="32" t="str">
        <f t="shared" si="1"/>
        <v/>
      </c>
      <c r="O12" s="32" t="s">
        <v>132</v>
      </c>
      <c r="W12" s="32">
        <f>CREW_LOG!C9</f>
        <v>1</v>
      </c>
      <c r="X12" s="32" t="str">
        <f>IFERROR(INDEX(#REF!,MATCH(CREW_LOG!C9,#REF!,0)),"")</f>
        <v/>
      </c>
      <c r="Y12" s="32" t="str">
        <f>CREW_LOG!D9</f>
        <v>Fernando Rocha</v>
      </c>
      <c r="Z12" s="32" t="str">
        <f>CREW_LOG!E9</f>
        <v>Releif Operator</v>
      </c>
      <c r="AA12" s="32" t="str">
        <f>CREW_LOG!O9</f>
        <v>N</v>
      </c>
      <c r="AB12" s="32" t="str">
        <f>CREW_LOG!H9</f>
        <v>Y</v>
      </c>
      <c r="AC12" s="35">
        <f>CREW_LOG!I9</f>
        <v>0</v>
      </c>
      <c r="AD12" s="36"/>
      <c r="AE12" s="34"/>
    </row>
    <row r="13" spans="1:31" ht="15" customHeight="1" x14ac:dyDescent="0.25">
      <c r="A13" s="54">
        <f>PASSDOWN!B2</f>
        <v>46078</v>
      </c>
      <c r="B13" s="32" t="str">
        <f>PASSDOWN!E2</f>
        <v>3rd</v>
      </c>
      <c r="C13" s="32">
        <v>2</v>
      </c>
      <c r="D13" s="32" t="s">
        <v>150</v>
      </c>
      <c r="E13" s="32" t="s">
        <v>151</v>
      </c>
      <c r="F13" s="32" t="s">
        <v>151</v>
      </c>
      <c r="G13" s="32"/>
      <c r="H13" s="32" t="s">
        <v>131</v>
      </c>
      <c r="I13" s="32"/>
      <c r="J13" s="32" t="str">
        <f>IF(OR(A13="",B13="",C13="",G13=""),"",SUMIFS(EVENTS!$G$5:$G$204,EVENTS!$A$5:$A$204,A13,EVENTS!$B$5:$B$204,B13,EVENTS!$C$5:$C$204,C13,EVENTS!$H$5:$H$204,G13))</f>
        <v/>
      </c>
      <c r="K13" s="35" t="str">
        <f>IF(J13="","",MAX(0,1-J13/IF(PASSDOWN!$U$2="",720,PASSDOWN!$U$2)))</f>
        <v/>
      </c>
      <c r="L13" s="35">
        <f>IFERROR(INDEX(PASSDOWN!$G$11:$G$15,MATCH(C13,PASSDOWN!$A$11:$A$15,0)),"")</f>
        <v>0</v>
      </c>
      <c r="M13" s="33" t="str">
        <f t="shared" si="0"/>
        <v/>
      </c>
      <c r="N13" s="32" t="str">
        <f t="shared" si="1"/>
        <v/>
      </c>
      <c r="O13" s="32" t="s">
        <v>132</v>
      </c>
      <c r="W13" s="32">
        <f>CREW_LOG!C10</f>
        <v>2</v>
      </c>
      <c r="X13" s="32" t="str">
        <f>IFERROR(INDEX(#REF!,MATCH(CREW_LOG!C10,#REF!,0)),"")</f>
        <v/>
      </c>
      <c r="Y13" s="32" t="str">
        <f>CREW_LOG!D10</f>
        <v>Kenny Bryant</v>
      </c>
      <c r="Z13" s="32" t="str">
        <f>CREW_LOG!E10</f>
        <v>Checker</v>
      </c>
      <c r="AA13" s="32" t="str">
        <f>CREW_LOG!O10</f>
        <v>N</v>
      </c>
      <c r="AB13" s="32" t="str">
        <f>CREW_LOG!H10</f>
        <v>Y</v>
      </c>
      <c r="AC13" s="35">
        <f>CREW_LOG!I10</f>
        <v>0</v>
      </c>
      <c r="AD13" s="36"/>
      <c r="AE13" s="34"/>
    </row>
    <row r="14" spans="1:31" ht="15" customHeight="1" x14ac:dyDescent="0.25">
      <c r="A14" s="54">
        <f>PASSDOWN!B2</f>
        <v>46078</v>
      </c>
      <c r="B14" s="32" t="str">
        <f>PASSDOWN!E2</f>
        <v>3rd</v>
      </c>
      <c r="C14" s="32">
        <v>2</v>
      </c>
      <c r="D14" s="32" t="s">
        <v>152</v>
      </c>
      <c r="E14" s="32" t="s">
        <v>153</v>
      </c>
      <c r="F14" s="32" t="s">
        <v>153</v>
      </c>
      <c r="G14" s="32"/>
      <c r="H14" s="32" t="s">
        <v>131</v>
      </c>
      <c r="I14" s="32"/>
      <c r="J14" s="32" t="str">
        <f>IF(OR(A14="",B14="",C14="",G14=""),"",SUMIFS(EVENTS!$G$5:$G$204,EVENTS!$A$5:$A$204,A14,EVENTS!$B$5:$B$204,B14,EVENTS!$C$5:$C$204,C14,EVENTS!$H$5:$H$204,G14))</f>
        <v/>
      </c>
      <c r="K14" s="35" t="str">
        <f>IF(J14="","",MAX(0,1-J14/IF(PASSDOWN!$U$2="",720,PASSDOWN!$U$2)))</f>
        <v/>
      </c>
      <c r="L14" s="35">
        <f>IFERROR(INDEX(PASSDOWN!$G$11:$G$15,MATCH(C14,PASSDOWN!$A$11:$A$15,0)),"")</f>
        <v>0</v>
      </c>
      <c r="M14" s="33" t="str">
        <f t="shared" si="0"/>
        <v/>
      </c>
      <c r="N14" s="32" t="str">
        <f t="shared" si="1"/>
        <v/>
      </c>
      <c r="O14" s="32" t="s">
        <v>132</v>
      </c>
      <c r="W14" s="32">
        <f>CREW_LOG!C11</f>
        <v>2</v>
      </c>
      <c r="X14" s="32" t="str">
        <f>IFERROR(INDEX(#REF!,MATCH(CREW_LOG!C11,#REF!,0)),"")</f>
        <v/>
      </c>
      <c r="Y14" s="32" t="str">
        <f>CREW_LOG!D11</f>
        <v>Mayra Cacique</v>
      </c>
      <c r="Z14" s="32" t="str">
        <f>CREW_LOG!E11</f>
        <v>Depal</v>
      </c>
      <c r="AA14" s="32" t="str">
        <f>CREW_LOG!O11</f>
        <v>N</v>
      </c>
      <c r="AB14" s="32" t="str">
        <f>CREW_LOG!H11</f>
        <v>Y</v>
      </c>
      <c r="AC14" s="35">
        <f>CREW_LOG!I11</f>
        <v>0</v>
      </c>
      <c r="AD14" s="36"/>
      <c r="AE14" s="34"/>
    </row>
    <row r="15" spans="1:31" ht="15" customHeight="1" x14ac:dyDescent="0.25">
      <c r="A15" s="54">
        <f>PASSDOWN!B2</f>
        <v>46078</v>
      </c>
      <c r="B15" s="32" t="str">
        <f>PASSDOWN!E2</f>
        <v>3rd</v>
      </c>
      <c r="C15" s="32">
        <v>2</v>
      </c>
      <c r="D15" s="32" t="s">
        <v>154</v>
      </c>
      <c r="E15" s="32" t="s">
        <v>140</v>
      </c>
      <c r="F15" s="32" t="s">
        <v>140</v>
      </c>
      <c r="G15" s="32"/>
      <c r="H15" s="32" t="s">
        <v>131</v>
      </c>
      <c r="I15" s="32"/>
      <c r="J15" s="32" t="str">
        <f>IF(OR(A15="",B15="",C15="",G15=""),"",SUMIFS(EVENTS!$G$5:$G$204,EVENTS!$A$5:$A$204,A15,EVENTS!$B$5:$B$204,B15,EVENTS!$C$5:$C$204,C15,EVENTS!$H$5:$H$204,G15))</f>
        <v/>
      </c>
      <c r="K15" s="35" t="str">
        <f>IF(J15="","",MAX(0,1-J15/IF(PASSDOWN!$U$2="",720,PASSDOWN!$U$2)))</f>
        <v/>
      </c>
      <c r="L15" s="35">
        <f>IFERROR(INDEX(PASSDOWN!$G$11:$G$15,MATCH(C15,PASSDOWN!$A$11:$A$15,0)),"")</f>
        <v>0</v>
      </c>
      <c r="M15" s="33" t="str">
        <f t="shared" si="0"/>
        <v/>
      </c>
      <c r="N15" s="32" t="str">
        <f t="shared" si="1"/>
        <v/>
      </c>
      <c r="O15" s="32" t="s">
        <v>132</v>
      </c>
      <c r="W15" s="32">
        <f>CREW_LOG!C12</f>
        <v>2</v>
      </c>
      <c r="X15" s="32" t="str">
        <f>IFERROR(INDEX(#REF!,MATCH(CREW_LOG!C12,#REF!,0)),"")</f>
        <v/>
      </c>
      <c r="Y15" s="32" t="str">
        <f>CREW_LOG!D12</f>
        <v>Paola Garcia</v>
      </c>
      <c r="Z15" s="32" t="str">
        <f>CREW_LOG!E12</f>
        <v>Labeler B</v>
      </c>
      <c r="AA15" s="32" t="str">
        <f>CREW_LOG!O12</f>
        <v>N</v>
      </c>
      <c r="AB15" s="32" t="str">
        <f>CREW_LOG!H12</f>
        <v>Y</v>
      </c>
      <c r="AC15" s="35">
        <f>CREW_LOG!I12</f>
        <v>0</v>
      </c>
      <c r="AD15" s="36"/>
      <c r="AE15" s="34"/>
    </row>
    <row r="16" spans="1:31" ht="15" customHeight="1" x14ac:dyDescent="0.25">
      <c r="A16" s="54">
        <f>PASSDOWN!B2</f>
        <v>46078</v>
      </c>
      <c r="B16" s="32" t="str">
        <f>PASSDOWN!E2</f>
        <v>3rd</v>
      </c>
      <c r="C16" s="32">
        <v>2</v>
      </c>
      <c r="D16" s="32" t="s">
        <v>155</v>
      </c>
      <c r="E16" s="32" t="s">
        <v>142</v>
      </c>
      <c r="F16" s="32" t="s">
        <v>142</v>
      </c>
      <c r="G16" s="32"/>
      <c r="H16" s="32" t="s">
        <v>131</v>
      </c>
      <c r="I16" s="32"/>
      <c r="J16" s="32" t="str">
        <f>IF(OR(A16="",B16="",C16="",G16=""),"",SUMIFS(EVENTS!$G$5:$G$204,EVENTS!$A$5:$A$204,A16,EVENTS!$B$5:$B$204,B16,EVENTS!$C$5:$C$204,C16,EVENTS!$H$5:$H$204,G16))</f>
        <v/>
      </c>
      <c r="K16" s="35" t="str">
        <f>IF(J16="","",MAX(0,1-J16/IF(PASSDOWN!$U$2="",720,PASSDOWN!$U$2)))</f>
        <v/>
      </c>
      <c r="L16" s="35">
        <f>IFERROR(INDEX(PASSDOWN!$G$11:$G$15,MATCH(C16,PASSDOWN!$A$11:$A$15,0)),"")</f>
        <v>0</v>
      </c>
      <c r="M16" s="33" t="str">
        <f t="shared" si="0"/>
        <v/>
      </c>
      <c r="N16" s="32" t="str">
        <f t="shared" si="1"/>
        <v/>
      </c>
      <c r="O16" s="32" t="s">
        <v>132</v>
      </c>
      <c r="W16" s="32">
        <f>CREW_LOG!C13</f>
        <v>2</v>
      </c>
      <c r="X16" s="32" t="str">
        <f>IFERROR(INDEX(#REF!,MATCH(CREW_LOG!C13,#REF!,0)),"")</f>
        <v/>
      </c>
      <c r="Y16" s="32" t="str">
        <f>CREW_LOG!D13</f>
        <v>Rufino Arguellas</v>
      </c>
      <c r="Z16" s="32" t="str">
        <f>CREW_LOG!E13</f>
        <v>Riverwood</v>
      </c>
      <c r="AA16" s="32" t="str">
        <f>CREW_LOG!O13</f>
        <v>N</v>
      </c>
      <c r="AB16" s="32" t="str">
        <f>CREW_LOG!H13</f>
        <v>Y</v>
      </c>
      <c r="AC16" s="35">
        <f>CREW_LOG!I13</f>
        <v>0</v>
      </c>
      <c r="AD16" s="36"/>
      <c r="AE16" s="34"/>
    </row>
    <row r="17" spans="1:31" ht="15" customHeight="1" x14ac:dyDescent="0.25">
      <c r="A17" s="54">
        <f>PASSDOWN!B2</f>
        <v>46078</v>
      </c>
      <c r="B17" s="32" t="str">
        <f>PASSDOWN!E2</f>
        <v>3rd</v>
      </c>
      <c r="C17" s="32">
        <v>2</v>
      </c>
      <c r="D17" s="32" t="s">
        <v>156</v>
      </c>
      <c r="E17" s="32" t="s">
        <v>144</v>
      </c>
      <c r="F17" s="32" t="s">
        <v>144</v>
      </c>
      <c r="G17" s="32"/>
      <c r="H17" s="32" t="s">
        <v>131</v>
      </c>
      <c r="I17" s="32"/>
      <c r="J17" s="32" t="str">
        <f>IF(OR(A17="",B17="",C17="",G17=""),"",SUMIFS(EVENTS!$G$5:$G$204,EVENTS!$A$5:$A$204,A17,EVENTS!$B$5:$B$204,B17,EVENTS!$C$5:$C$204,C17,EVENTS!$H$5:$H$204,G17))</f>
        <v/>
      </c>
      <c r="K17" s="35" t="str">
        <f>IF(J17="","",MAX(0,1-J17/IF(PASSDOWN!$U$2="",720,PASSDOWN!$U$2)))</f>
        <v/>
      </c>
      <c r="L17" s="35">
        <f>IFERROR(INDEX(PASSDOWN!$G$11:$G$15,MATCH(C17,PASSDOWN!$A$11:$A$15,0)),"")</f>
        <v>0</v>
      </c>
      <c r="M17" s="33" t="str">
        <f t="shared" si="0"/>
        <v/>
      </c>
      <c r="N17" s="32" t="str">
        <f t="shared" si="1"/>
        <v/>
      </c>
      <c r="O17" s="32" t="s">
        <v>132</v>
      </c>
      <c r="W17" s="32">
        <f>CREW_LOG!C14</f>
        <v>2</v>
      </c>
      <c r="X17" s="32" t="str">
        <f>IFERROR(INDEX(#REF!,MATCH(CREW_LOG!C14,#REF!,0)),"")</f>
        <v/>
      </c>
      <c r="Y17" s="32" t="str">
        <f>CREW_LOG!D14</f>
        <v>Ramero Ramirez</v>
      </c>
      <c r="Z17" s="32" t="str">
        <f>CREW_LOG!E14</f>
        <v>Upstairs</v>
      </c>
      <c r="AA17" s="32" t="str">
        <f>CREW_LOG!O14</f>
        <v>N</v>
      </c>
      <c r="AB17" s="32" t="str">
        <f>CREW_LOG!H14</f>
        <v>Y</v>
      </c>
      <c r="AC17" s="35">
        <f>CREW_LOG!I14</f>
        <v>0</v>
      </c>
      <c r="AD17" s="36"/>
      <c r="AE17" s="34"/>
    </row>
    <row r="18" spans="1:31" ht="15" customHeight="1" x14ac:dyDescent="0.25">
      <c r="A18" s="54">
        <f>PASSDOWN!B2</f>
        <v>46078</v>
      </c>
      <c r="B18" s="32" t="str">
        <f>PASSDOWN!E2</f>
        <v>3rd</v>
      </c>
      <c r="C18" s="32">
        <v>2</v>
      </c>
      <c r="D18" s="32" t="s">
        <v>157</v>
      </c>
      <c r="E18" s="32" t="s">
        <v>158</v>
      </c>
      <c r="F18" s="32" t="s">
        <v>158</v>
      </c>
      <c r="G18" s="32"/>
      <c r="H18" s="32" t="s">
        <v>131</v>
      </c>
      <c r="I18" s="32"/>
      <c r="J18" s="32" t="str">
        <f>IF(OR(A18="",B18="",C18="",G18=""),"",SUMIFS(EVENTS!$G$5:$G$204,EVENTS!$A$5:$A$204,A18,EVENTS!$B$5:$B$204,B18,EVENTS!$C$5:$C$204,C18,EVENTS!$H$5:$H$204,G18))</f>
        <v/>
      </c>
      <c r="K18" s="35" t="str">
        <f>IF(J18="","",MAX(0,1-J18/IF(PASSDOWN!$U$2="",720,PASSDOWN!$U$2)))</f>
        <v/>
      </c>
      <c r="L18" s="35">
        <f>IFERROR(INDEX(PASSDOWN!$G$11:$G$15,MATCH(C18,PASSDOWN!$A$11:$A$15,0)),"")</f>
        <v>0</v>
      </c>
      <c r="M18" s="33" t="str">
        <f t="shared" si="0"/>
        <v/>
      </c>
      <c r="N18" s="32" t="str">
        <f t="shared" si="1"/>
        <v/>
      </c>
      <c r="O18" s="32" t="s">
        <v>132</v>
      </c>
      <c r="W18" s="32">
        <f>CREW_LOG!C15</f>
        <v>2</v>
      </c>
      <c r="X18" s="32" t="str">
        <f>IFERROR(INDEX(#REF!,MATCH(CREW_LOG!C15,#REF!,0)),"")</f>
        <v/>
      </c>
      <c r="Y18" s="32" t="str">
        <f>CREW_LOG!D15</f>
        <v>Maria Espinoza</v>
      </c>
      <c r="Z18" s="32" t="str">
        <f>CREW_LOG!E15</f>
        <v>Palletizer</v>
      </c>
      <c r="AA18" s="32" t="str">
        <f>CREW_LOG!O15</f>
        <v>N</v>
      </c>
      <c r="AB18" s="32" t="str">
        <f>CREW_LOG!H15</f>
        <v>Y</v>
      </c>
      <c r="AC18" s="35">
        <f>CREW_LOG!I15</f>
        <v>0</v>
      </c>
      <c r="AD18" s="36"/>
      <c r="AE18" s="34"/>
    </row>
    <row r="19" spans="1:31" ht="15" customHeight="1" x14ac:dyDescent="0.25">
      <c r="A19" s="54">
        <f>PASSDOWN!B2</f>
        <v>46078</v>
      </c>
      <c r="B19" s="32" t="str">
        <f>PASSDOWN!E2</f>
        <v>3rd</v>
      </c>
      <c r="C19" s="32">
        <v>3</v>
      </c>
      <c r="D19" s="32" t="s">
        <v>159</v>
      </c>
      <c r="E19" s="32" t="s">
        <v>130</v>
      </c>
      <c r="F19" s="32" t="s">
        <v>130</v>
      </c>
      <c r="G19" s="32"/>
      <c r="H19" s="32" t="s">
        <v>131</v>
      </c>
      <c r="I19" s="32"/>
      <c r="J19" s="32" t="str">
        <f>IF(OR(A19="",B19="",C19="",G19=""),"",SUMIFS(EVENTS!$G$5:$G$204,EVENTS!$A$5:$A$204,A19,EVENTS!$B$5:$B$204,B19,EVENTS!$C$5:$C$204,C19,EVENTS!$H$5:$H$204,G19))</f>
        <v/>
      </c>
      <c r="K19" s="35" t="str">
        <f>IF(J19="","",MAX(0,1-J19/IF(PASSDOWN!$U$2="",720,PASSDOWN!$U$2)))</f>
        <v/>
      </c>
      <c r="L19" s="35">
        <f>IFERROR(INDEX(PASSDOWN!$G$11:$G$15,MATCH(C19,PASSDOWN!$A$11:$A$15,0)),"")</f>
        <v>0</v>
      </c>
      <c r="M19" s="33" t="str">
        <f t="shared" si="0"/>
        <v/>
      </c>
      <c r="N19" s="32" t="str">
        <f t="shared" si="1"/>
        <v/>
      </c>
      <c r="O19" s="32" t="s">
        <v>132</v>
      </c>
      <c r="W19" s="32">
        <f>CREW_LOG!C16</f>
        <v>2</v>
      </c>
      <c r="X19" s="32" t="str">
        <f>IFERROR(INDEX(#REF!,MATCH(CREW_LOG!C16,#REF!,0)),"")</f>
        <v/>
      </c>
      <c r="Y19" s="32" t="str">
        <f>CREW_LOG!D16</f>
        <v>Don Gibson</v>
      </c>
      <c r="Z19" s="32" t="str">
        <f>CREW_LOG!E16</f>
        <v>Drive Off</v>
      </c>
      <c r="AA19" s="32" t="str">
        <f>CREW_LOG!O16</f>
        <v>N</v>
      </c>
      <c r="AB19" s="32" t="str">
        <f>CREW_LOG!H16</f>
        <v>Y</v>
      </c>
      <c r="AC19" s="35">
        <f>CREW_LOG!I16</f>
        <v>0</v>
      </c>
      <c r="AD19" s="36"/>
      <c r="AE19" s="34"/>
    </row>
    <row r="20" spans="1:31" ht="15" customHeight="1" x14ac:dyDescent="0.25">
      <c r="A20" s="54">
        <f>PASSDOWN!B2</f>
        <v>46078</v>
      </c>
      <c r="B20" s="32" t="str">
        <f>PASSDOWN!E2</f>
        <v>3rd</v>
      </c>
      <c r="C20" s="32">
        <v>3</v>
      </c>
      <c r="D20" s="32" t="s">
        <v>160</v>
      </c>
      <c r="E20" s="32" t="s">
        <v>147</v>
      </c>
      <c r="F20" s="32" t="s">
        <v>147</v>
      </c>
      <c r="G20" s="32"/>
      <c r="H20" s="32" t="s">
        <v>131</v>
      </c>
      <c r="I20" s="32"/>
      <c r="J20" s="32" t="str">
        <f>IF(OR(A20="",B20="",C20="",G20=""),"",SUMIFS(EVENTS!$G$5:$G$204,EVENTS!$A$5:$A$204,A20,EVENTS!$B$5:$B$204,B20,EVENTS!$C$5:$C$204,C20,EVENTS!$H$5:$H$204,G20))</f>
        <v/>
      </c>
      <c r="K20" s="35" t="str">
        <f>IF(J20="","",MAX(0,1-J20/IF(PASSDOWN!$U$2="",720,PASSDOWN!$U$2)))</f>
        <v/>
      </c>
      <c r="L20" s="35">
        <f>IFERROR(INDEX(PASSDOWN!$G$11:$G$15,MATCH(C20,PASSDOWN!$A$11:$A$15,0)),"")</f>
        <v>0</v>
      </c>
      <c r="M20" s="33" t="str">
        <f t="shared" si="0"/>
        <v/>
      </c>
      <c r="N20" s="32" t="str">
        <f t="shared" si="1"/>
        <v/>
      </c>
      <c r="O20" s="32" t="s">
        <v>132</v>
      </c>
      <c r="W20" s="32">
        <f>CREW_LOG!C17</f>
        <v>2</v>
      </c>
      <c r="X20" s="32" t="str">
        <f>IFERROR(INDEX(#REF!,MATCH(CREW_LOG!C17,#REF!,0)),"")</f>
        <v/>
      </c>
      <c r="Y20" s="32" t="str">
        <f>CREW_LOG!D17</f>
        <v>Cristian Garcia</v>
      </c>
      <c r="Z20" s="32" t="str">
        <f>CREW_LOG!E17</f>
        <v>Releif Operator</v>
      </c>
      <c r="AA20" s="32" t="str">
        <f>CREW_LOG!O17</f>
        <v>N</v>
      </c>
      <c r="AB20" s="32" t="str">
        <f>CREW_LOG!H17</f>
        <v>Y</v>
      </c>
      <c r="AC20" s="35">
        <f>CREW_LOG!I17</f>
        <v>0</v>
      </c>
      <c r="AD20" s="36"/>
      <c r="AE20" s="34"/>
    </row>
    <row r="21" spans="1:31" ht="15" customHeight="1" x14ac:dyDescent="0.25">
      <c r="A21" s="54">
        <f>PASSDOWN!B2</f>
        <v>46078</v>
      </c>
      <c r="B21" s="32" t="str">
        <f>PASSDOWN!E2</f>
        <v>3rd</v>
      </c>
      <c r="C21" s="32">
        <v>3</v>
      </c>
      <c r="D21" s="32" t="s">
        <v>161</v>
      </c>
      <c r="E21" s="32" t="s">
        <v>134</v>
      </c>
      <c r="F21" s="32" t="s">
        <v>134</v>
      </c>
      <c r="G21" s="32"/>
      <c r="H21" s="32" t="s">
        <v>131</v>
      </c>
      <c r="I21" s="32"/>
      <c r="J21" s="32" t="str">
        <f>IF(OR(A21="",B21="",C21="",G21=""),"",SUMIFS(EVENTS!$G$5:$G$204,EVENTS!$A$5:$A$204,A21,EVENTS!$B$5:$B$204,B21,EVENTS!$C$5:$C$204,C21,EVENTS!$H$5:$H$204,G21))</f>
        <v/>
      </c>
      <c r="K21" s="35" t="str">
        <f>IF(J21="","",MAX(0,1-J21/IF(PASSDOWN!$U$2="",720,PASSDOWN!$U$2)))</f>
        <v/>
      </c>
      <c r="L21" s="35">
        <f>IFERROR(INDEX(PASSDOWN!$G$11:$G$15,MATCH(C21,PASSDOWN!$A$11:$A$15,0)),"")</f>
        <v>0</v>
      </c>
      <c r="M21" s="33" t="str">
        <f t="shared" si="0"/>
        <v/>
      </c>
      <c r="N21" s="32" t="str">
        <f t="shared" si="1"/>
        <v/>
      </c>
      <c r="O21" s="32" t="s">
        <v>132</v>
      </c>
      <c r="W21" s="32">
        <f>CREW_LOG!C18</f>
        <v>2</v>
      </c>
      <c r="X21" s="32" t="str">
        <f>IFERROR(INDEX(#REF!,MATCH(CREW_LOG!C18,#REF!,0)),"")</f>
        <v/>
      </c>
      <c r="Y21" s="32" t="str">
        <f>CREW_LOG!D18</f>
        <v>Maria Hermosilla</v>
      </c>
      <c r="Z21" s="32" t="str">
        <f>CREW_LOG!E18</f>
        <v>RO Training</v>
      </c>
      <c r="AA21" s="32" t="str">
        <f>CREW_LOG!O18</f>
        <v>N</v>
      </c>
      <c r="AB21" s="32" t="str">
        <f>CREW_LOG!H18</f>
        <v>Y</v>
      </c>
      <c r="AC21" s="35">
        <f>CREW_LOG!I18</f>
        <v>0</v>
      </c>
      <c r="AD21" s="36"/>
      <c r="AE21" s="34"/>
    </row>
    <row r="22" spans="1:31" ht="15" customHeight="1" x14ac:dyDescent="0.25">
      <c r="A22" s="54">
        <f>PASSDOWN!B2</f>
        <v>46078</v>
      </c>
      <c r="B22" s="32" t="str">
        <f>PASSDOWN!E2</f>
        <v>3rd</v>
      </c>
      <c r="C22" s="32">
        <v>3</v>
      </c>
      <c r="D22" s="32" t="s">
        <v>162</v>
      </c>
      <c r="E22" s="32" t="s">
        <v>136</v>
      </c>
      <c r="F22" s="32" t="s">
        <v>136</v>
      </c>
      <c r="G22" s="32"/>
      <c r="H22" s="32" t="s">
        <v>131</v>
      </c>
      <c r="I22" s="32"/>
      <c r="J22" s="32" t="str">
        <f>IF(OR(A22="",B22="",C22="",G22=""),"",SUMIFS(EVENTS!$G$5:$G$204,EVENTS!$A$5:$A$204,A22,EVENTS!$B$5:$B$204,B22,EVENTS!$C$5:$C$204,C22,EVENTS!$H$5:$H$204,G22))</f>
        <v/>
      </c>
      <c r="K22" s="35" t="str">
        <f>IF(J22="","",MAX(0,1-J22/IF(PASSDOWN!$U$2="",720,PASSDOWN!$U$2)))</f>
        <v/>
      </c>
      <c r="L22" s="35">
        <f>IFERROR(INDEX(PASSDOWN!$G$11:$G$15,MATCH(C22,PASSDOWN!$A$11:$A$15,0)),"")</f>
        <v>0</v>
      </c>
      <c r="M22" s="33" t="str">
        <f t="shared" si="0"/>
        <v/>
      </c>
      <c r="N22" s="32" t="str">
        <f t="shared" si="1"/>
        <v/>
      </c>
      <c r="O22" s="32" t="s">
        <v>132</v>
      </c>
      <c r="W22" s="32">
        <f>CREW_LOG!C26</f>
        <v>4</v>
      </c>
      <c r="X22" s="32" t="str">
        <f>IFERROR(INDEX(#REF!,MATCH(CREW_LOG!C26,#REF!,0)),"")</f>
        <v/>
      </c>
      <c r="Y22" s="32" t="str">
        <f>CREW_LOG!D26</f>
        <v>Brayan Rocha</v>
      </c>
      <c r="Z22" s="32" t="str">
        <f>CREW_LOG!E26</f>
        <v>Checker</v>
      </c>
      <c r="AA22" s="32" t="str">
        <f>CREW_LOG!O26</f>
        <v>N</v>
      </c>
      <c r="AB22" s="32" t="str">
        <f>CREW_LOG!H26</f>
        <v>Y</v>
      </c>
      <c r="AC22" s="35">
        <f>CREW_LOG!I26</f>
        <v>0</v>
      </c>
      <c r="AD22" s="36"/>
      <c r="AE22" s="34"/>
    </row>
    <row r="23" spans="1:31" ht="15" customHeight="1" x14ac:dyDescent="0.25">
      <c r="A23" s="54">
        <f>PASSDOWN!B2</f>
        <v>46078</v>
      </c>
      <c r="B23" s="32" t="str">
        <f>PASSDOWN!E2</f>
        <v>3rd</v>
      </c>
      <c r="C23" s="32">
        <v>3</v>
      </c>
      <c r="D23" s="32" t="s">
        <v>163</v>
      </c>
      <c r="E23" s="32" t="s">
        <v>138</v>
      </c>
      <c r="F23" s="32" t="s">
        <v>138</v>
      </c>
      <c r="G23" s="32"/>
      <c r="H23" s="32" t="s">
        <v>131</v>
      </c>
      <c r="I23" s="32"/>
      <c r="J23" s="32" t="str">
        <f>IF(OR(A23="",B23="",C23="",G23=""),"",SUMIFS(EVENTS!$G$5:$G$204,EVENTS!$A$5:$A$204,A23,EVENTS!$B$5:$B$204,B23,EVENTS!$C$5:$C$204,C23,EVENTS!$H$5:$H$204,G23))</f>
        <v/>
      </c>
      <c r="K23" s="35" t="str">
        <f>IF(J23="","",MAX(0,1-J23/IF(PASSDOWN!$U$2="",720,PASSDOWN!$U$2)))</f>
        <v/>
      </c>
      <c r="L23" s="35">
        <f>IFERROR(INDEX(PASSDOWN!$G$11:$G$15,MATCH(C23,PASSDOWN!$A$11:$A$15,0)),"")</f>
        <v>0</v>
      </c>
      <c r="M23" s="33" t="str">
        <f t="shared" si="0"/>
        <v/>
      </c>
      <c r="N23" s="32" t="str">
        <f t="shared" si="1"/>
        <v/>
      </c>
      <c r="O23" s="32" t="s">
        <v>132</v>
      </c>
      <c r="W23" s="32">
        <f>CREW_LOG!C27</f>
        <v>4</v>
      </c>
      <c r="X23" s="32" t="str">
        <f>IFERROR(INDEX(#REF!,MATCH(CREW_LOG!C27,#REF!,0)),"")</f>
        <v/>
      </c>
      <c r="Y23" s="32" t="str">
        <f>CREW_LOG!D27</f>
        <v>Clara Velazco</v>
      </c>
      <c r="Z23" s="32" t="str">
        <f>CREW_LOG!E27</f>
        <v>Depal:</v>
      </c>
      <c r="AA23" s="32" t="str">
        <f>CREW_LOG!O27</f>
        <v>N</v>
      </c>
      <c r="AB23" s="32" t="str">
        <f>CREW_LOG!H27</f>
        <v>Y</v>
      </c>
      <c r="AC23" s="35">
        <f>CREW_LOG!I27</f>
        <v>0</v>
      </c>
      <c r="AD23" s="36"/>
      <c r="AE23" s="34"/>
    </row>
    <row r="24" spans="1:31" ht="15" customHeight="1" x14ac:dyDescent="0.25">
      <c r="A24" s="54">
        <f>PASSDOWN!B2</f>
        <v>46078</v>
      </c>
      <c r="B24" s="32" t="str">
        <f>PASSDOWN!E2</f>
        <v>3rd</v>
      </c>
      <c r="C24" s="32">
        <v>3</v>
      </c>
      <c r="D24" s="32" t="s">
        <v>164</v>
      </c>
      <c r="E24" s="32" t="s">
        <v>140</v>
      </c>
      <c r="F24" s="32" t="s">
        <v>140</v>
      </c>
      <c r="G24" s="32"/>
      <c r="H24" s="32" t="s">
        <v>131</v>
      </c>
      <c r="I24" s="32"/>
      <c r="J24" s="32" t="str">
        <f>IF(OR(A24="",B24="",C24="",G24=""),"",SUMIFS(EVENTS!$G$5:$G$204,EVENTS!$A$5:$A$204,A24,EVENTS!$B$5:$B$204,B24,EVENTS!$C$5:$C$204,C24,EVENTS!$H$5:$H$204,G24))</f>
        <v/>
      </c>
      <c r="K24" s="35" t="str">
        <f>IF(J24="","",MAX(0,1-J24/IF(PASSDOWN!$U$2="",720,PASSDOWN!$U$2)))</f>
        <v/>
      </c>
      <c r="L24" s="35">
        <f>IFERROR(INDEX(PASSDOWN!$G$11:$G$15,MATCH(C24,PASSDOWN!$A$11:$A$15,0)),"")</f>
        <v>0</v>
      </c>
      <c r="M24" s="33" t="str">
        <f t="shared" si="0"/>
        <v/>
      </c>
      <c r="N24" s="32" t="str">
        <f t="shared" si="1"/>
        <v/>
      </c>
      <c r="O24" s="32" t="s">
        <v>132</v>
      </c>
      <c r="W24" s="32">
        <f>CREW_LOG!C28</f>
        <v>4</v>
      </c>
      <c r="X24" s="32" t="str">
        <f>IFERROR(INDEX(#REF!,MATCH(CREW_LOG!C28,#REF!,0)),"")</f>
        <v/>
      </c>
      <c r="Y24" s="32" t="str">
        <f>CREW_LOG!D28</f>
        <v>Irma Sandoval</v>
      </c>
      <c r="Z24" s="32" t="str">
        <f>CREW_LOG!E28</f>
        <v>Labeler</v>
      </c>
      <c r="AA24" s="32" t="str">
        <f>CREW_LOG!O28</f>
        <v>N</v>
      </c>
      <c r="AB24" s="32" t="str">
        <f>CREW_LOG!H28</f>
        <v>Y</v>
      </c>
      <c r="AC24" s="35">
        <f>CREW_LOG!I28</f>
        <v>0</v>
      </c>
      <c r="AD24" s="36"/>
      <c r="AE24" s="34"/>
    </row>
    <row r="25" spans="1:31" ht="15" customHeight="1" x14ac:dyDescent="0.25">
      <c r="A25" s="54">
        <f>PASSDOWN!B2</f>
        <v>46078</v>
      </c>
      <c r="B25" s="32" t="str">
        <f>PASSDOWN!E2</f>
        <v>3rd</v>
      </c>
      <c r="C25" s="32">
        <v>3</v>
      </c>
      <c r="D25" s="32" t="s">
        <v>165</v>
      </c>
      <c r="E25" s="32" t="s">
        <v>142</v>
      </c>
      <c r="F25" s="32" t="s">
        <v>142</v>
      </c>
      <c r="G25" s="32"/>
      <c r="H25" s="32" t="s">
        <v>131</v>
      </c>
      <c r="I25" s="32"/>
      <c r="J25" s="32" t="str">
        <f>IF(OR(A25="",B25="",C25="",G25=""),"",SUMIFS(EVENTS!$G$5:$G$204,EVENTS!$A$5:$A$204,A25,EVENTS!$B$5:$B$204,B25,EVENTS!$C$5:$C$204,C25,EVENTS!$H$5:$H$204,G25))</f>
        <v/>
      </c>
      <c r="K25" s="35" t="str">
        <f>IF(J25="","",MAX(0,1-J25/IF(PASSDOWN!$U$2="",720,PASSDOWN!$U$2)))</f>
        <v/>
      </c>
      <c r="L25" s="35">
        <f>IFERROR(INDEX(PASSDOWN!$G$11:$G$15,MATCH(C25,PASSDOWN!$A$11:$A$15,0)),"")</f>
        <v>0</v>
      </c>
      <c r="M25" s="33" t="str">
        <f t="shared" si="0"/>
        <v/>
      </c>
      <c r="N25" s="32" t="str">
        <f t="shared" si="1"/>
        <v/>
      </c>
      <c r="O25" s="32" t="s">
        <v>132</v>
      </c>
      <c r="W25" s="32">
        <f>CREW_LOG!C29</f>
        <v>4</v>
      </c>
      <c r="X25" s="32" t="str">
        <f>IFERROR(INDEX(#REF!,MATCH(CREW_LOG!C29,#REF!,0)),"")</f>
        <v/>
      </c>
      <c r="Y25" s="32" t="str">
        <f>CREW_LOG!D29</f>
        <v>Rosa Haro Moreno</v>
      </c>
      <c r="Z25" s="32" t="str">
        <f>CREW_LOG!E29</f>
        <v>RA Jones</v>
      </c>
      <c r="AA25" s="32" t="str">
        <f>CREW_LOG!O29</f>
        <v>N</v>
      </c>
      <c r="AB25" s="32" t="str">
        <f>CREW_LOG!H29</f>
        <v>Y</v>
      </c>
      <c r="AC25" s="35">
        <f>CREW_LOG!I29</f>
        <v>0</v>
      </c>
      <c r="AD25" s="36"/>
      <c r="AE25" s="34"/>
    </row>
    <row r="26" spans="1:31" ht="15" customHeight="1" x14ac:dyDescent="0.25">
      <c r="A26" s="54">
        <f>PASSDOWN!B2</f>
        <v>46078</v>
      </c>
      <c r="B26" s="32" t="str">
        <f>PASSDOWN!E2</f>
        <v>3rd</v>
      </c>
      <c r="C26" s="32">
        <v>4</v>
      </c>
      <c r="D26" s="32" t="s">
        <v>166</v>
      </c>
      <c r="E26" s="32" t="s">
        <v>130</v>
      </c>
      <c r="F26" s="32" t="s">
        <v>130</v>
      </c>
      <c r="G26" s="32"/>
      <c r="H26" s="32" t="s">
        <v>131</v>
      </c>
      <c r="I26" s="32"/>
      <c r="J26" s="32" t="str">
        <f>IF(OR(A26="",B26="",C26="",G26=""),"",SUMIFS(EVENTS!$G$5:$G$204,EVENTS!$A$5:$A$204,A26,EVENTS!$B$5:$B$204,B26,EVENTS!$C$5:$C$204,C26,EVENTS!$H$5:$H$204,G26))</f>
        <v/>
      </c>
      <c r="K26" s="35" t="str">
        <f>IF(J26="","",MAX(0,1-J26/IF(PASSDOWN!$U$2="",720,PASSDOWN!$U$2)))</f>
        <v/>
      </c>
      <c r="L26" s="35">
        <f>IFERROR(INDEX(PASSDOWN!$G$11:$G$15,MATCH(C26,PASSDOWN!$A$11:$A$15,0)),"")</f>
        <v>0</v>
      </c>
      <c r="M26" s="33" t="str">
        <f t="shared" si="0"/>
        <v/>
      </c>
      <c r="N26" s="32" t="str">
        <f t="shared" si="1"/>
        <v/>
      </c>
      <c r="O26" s="32" t="s">
        <v>132</v>
      </c>
      <c r="W26" s="32">
        <f>CREW_LOG!C30</f>
        <v>4</v>
      </c>
      <c r="X26" s="32" t="str">
        <f>IFERROR(INDEX(#REF!,MATCH(CREW_LOG!C30,#REF!,0)),"")</f>
        <v/>
      </c>
      <c r="Y26" s="32" t="str">
        <f>CREW_LOG!D30</f>
        <v>Milidia Dupairion</v>
      </c>
      <c r="Z26" s="32" t="str">
        <f>CREW_LOG!E30</f>
        <v>Traypacker</v>
      </c>
      <c r="AA26" s="32" t="str">
        <f>CREW_LOG!O30</f>
        <v>N</v>
      </c>
      <c r="AB26" s="32" t="str">
        <f>CREW_LOG!H30</f>
        <v>Y</v>
      </c>
      <c r="AC26" s="35">
        <f>CREW_LOG!I30</f>
        <v>0</v>
      </c>
      <c r="AD26" s="36"/>
      <c r="AE26" s="34"/>
    </row>
    <row r="27" spans="1:31" ht="15" customHeight="1" x14ac:dyDescent="0.25">
      <c r="A27" s="54">
        <f>PASSDOWN!B2</f>
        <v>46078</v>
      </c>
      <c r="B27" s="32" t="str">
        <f>PASSDOWN!E2</f>
        <v>3rd</v>
      </c>
      <c r="C27" s="32">
        <v>4</v>
      </c>
      <c r="D27" s="32" t="s">
        <v>167</v>
      </c>
      <c r="E27" s="32" t="s">
        <v>168</v>
      </c>
      <c r="F27" s="32" t="s">
        <v>168</v>
      </c>
      <c r="G27" s="32"/>
      <c r="H27" s="32" t="s">
        <v>131</v>
      </c>
      <c r="I27" s="32"/>
      <c r="J27" s="32" t="str">
        <f>IF(OR(A27="",B27="",C27="",G27=""),"",SUMIFS(EVENTS!$G$5:$G$204,EVENTS!$A$5:$A$204,A27,EVENTS!$B$5:$B$204,B27,EVENTS!$C$5:$C$204,C27,EVENTS!$H$5:$H$204,G27))</f>
        <v/>
      </c>
      <c r="K27" s="35" t="str">
        <f>IF(J27="","",MAX(0,1-J27/IF(PASSDOWN!$U$2="",720,PASSDOWN!$U$2)))</f>
        <v/>
      </c>
      <c r="L27" s="35">
        <f>IFERROR(INDEX(PASSDOWN!$G$11:$G$15,MATCH(C27,PASSDOWN!$A$11:$A$15,0)),"")</f>
        <v>0</v>
      </c>
      <c r="M27" s="33" t="str">
        <f t="shared" si="0"/>
        <v/>
      </c>
      <c r="N27" s="32" t="str">
        <f t="shared" si="1"/>
        <v/>
      </c>
      <c r="O27" s="32" t="s">
        <v>132</v>
      </c>
      <c r="W27" s="32">
        <f>CREW_LOG!C31</f>
        <v>4</v>
      </c>
      <c r="X27" s="32" t="str">
        <f>IFERROR(INDEX(#REF!,MATCH(CREW_LOG!C31,#REF!,0)),"")</f>
        <v/>
      </c>
      <c r="Y27" s="32" t="str">
        <f>CREW_LOG!D31</f>
        <v>Fiorella Belfiore</v>
      </c>
      <c r="Z27" s="32" t="str">
        <f>CREW_LOG!E31</f>
        <v>Palletizer</v>
      </c>
      <c r="AA27" s="32" t="str">
        <f>CREW_LOG!O31</f>
        <v>N</v>
      </c>
      <c r="AB27" s="32" t="str">
        <f>CREW_LOG!H31</f>
        <v>Y</v>
      </c>
      <c r="AC27" s="35">
        <f>CREW_LOG!I31</f>
        <v>0</v>
      </c>
      <c r="AD27" s="36"/>
      <c r="AE27" s="34"/>
    </row>
    <row r="28" spans="1:31" ht="15" customHeight="1" x14ac:dyDescent="0.25">
      <c r="A28" s="54">
        <f>PASSDOWN!B2</f>
        <v>46078</v>
      </c>
      <c r="B28" s="32" t="str">
        <f>PASSDOWN!E2</f>
        <v>3rd</v>
      </c>
      <c r="C28" s="32">
        <v>4</v>
      </c>
      <c r="D28" s="32" t="s">
        <v>169</v>
      </c>
      <c r="E28" s="32" t="s">
        <v>134</v>
      </c>
      <c r="F28" s="32" t="s">
        <v>134</v>
      </c>
      <c r="G28" s="32"/>
      <c r="H28" s="32" t="s">
        <v>131</v>
      </c>
      <c r="I28" s="32"/>
      <c r="J28" s="32" t="str">
        <f>IF(OR(A28="",B28="",C28="",G28=""),"",SUMIFS(EVENTS!$G$5:$G$204,EVENTS!$A$5:$A$204,A28,EVENTS!$B$5:$B$204,B28,EVENTS!$C$5:$C$204,C28,EVENTS!$H$5:$H$204,G28))</f>
        <v/>
      </c>
      <c r="K28" s="35" t="str">
        <f>IF(J28="","",MAX(0,1-J28/IF(PASSDOWN!$U$2="",720,PASSDOWN!$U$2)))</f>
        <v/>
      </c>
      <c r="L28" s="35">
        <f>IFERROR(INDEX(PASSDOWN!$G$11:$G$15,MATCH(C28,PASSDOWN!$A$11:$A$15,0)),"")</f>
        <v>0</v>
      </c>
      <c r="M28" s="33" t="str">
        <f t="shared" si="0"/>
        <v/>
      </c>
      <c r="N28" s="32" t="str">
        <f t="shared" si="1"/>
        <v/>
      </c>
      <c r="O28" s="32" t="s">
        <v>132</v>
      </c>
      <c r="W28" s="32">
        <f>CREW_LOG!C32</f>
        <v>4</v>
      </c>
      <c r="X28" s="32" t="str">
        <f>IFERROR(INDEX(#REF!,MATCH(CREW_LOG!C32,#REF!,0)),"")</f>
        <v/>
      </c>
      <c r="Y28" s="32" t="str">
        <f>CREW_LOG!D32</f>
        <v>Jesus Orozco</v>
      </c>
      <c r="Z28" s="32" t="str">
        <f>CREW_LOG!E32</f>
        <v>Drive Off</v>
      </c>
      <c r="AA28" s="32" t="str">
        <f>CREW_LOG!O32</f>
        <v>N</v>
      </c>
      <c r="AB28" s="32" t="str">
        <f>CREW_LOG!H32</f>
        <v>Y</v>
      </c>
      <c r="AC28" s="35">
        <f>CREW_LOG!I32</f>
        <v>0</v>
      </c>
      <c r="AD28" s="36"/>
      <c r="AE28" s="34"/>
    </row>
    <row r="29" spans="1:31" ht="15" customHeight="1" x14ac:dyDescent="0.25">
      <c r="A29" s="54">
        <f>PASSDOWN!B2</f>
        <v>46078</v>
      </c>
      <c r="B29" s="32" t="str">
        <f>PASSDOWN!E2</f>
        <v>3rd</v>
      </c>
      <c r="C29" s="32">
        <v>4</v>
      </c>
      <c r="D29" s="32" t="s">
        <v>170</v>
      </c>
      <c r="E29" s="32" t="s">
        <v>171</v>
      </c>
      <c r="F29" s="32" t="s">
        <v>171</v>
      </c>
      <c r="G29" s="32"/>
      <c r="H29" s="32" t="s">
        <v>131</v>
      </c>
      <c r="I29" s="32"/>
      <c r="J29" s="32" t="str">
        <f>IF(OR(A29="",B29="",C29="",G29=""),"",SUMIFS(EVENTS!$G$5:$G$204,EVENTS!$A$5:$A$204,A29,EVENTS!$B$5:$B$204,B29,EVENTS!$C$5:$C$204,C29,EVENTS!$H$5:$H$204,G29))</f>
        <v/>
      </c>
      <c r="K29" s="35" t="str">
        <f>IF(J29="","",MAX(0,1-J29/IF(PASSDOWN!$U$2="",720,PASSDOWN!$U$2)))</f>
        <v/>
      </c>
      <c r="L29" s="35">
        <f>IFERROR(INDEX(PASSDOWN!$G$11:$G$15,MATCH(C29,PASSDOWN!$A$11:$A$15,0)),"")</f>
        <v>0</v>
      </c>
      <c r="M29" s="33" t="str">
        <f t="shared" si="0"/>
        <v/>
      </c>
      <c r="N29" s="32" t="str">
        <f t="shared" si="1"/>
        <v/>
      </c>
      <c r="O29" s="32" t="s">
        <v>132</v>
      </c>
      <c r="W29" s="32">
        <f>CREW_LOG!C33</f>
        <v>4</v>
      </c>
      <c r="X29" s="32" t="str">
        <f>IFERROR(INDEX(#REF!,MATCH(CREW_LOG!C33,#REF!,0)),"")</f>
        <v/>
      </c>
      <c r="Y29" s="32" t="str">
        <f>CREW_LOG!D33</f>
        <v>Juan Cacique</v>
      </c>
      <c r="Z29" s="32" t="str">
        <f>CREW_LOG!E33</f>
        <v>Releif Operator</v>
      </c>
      <c r="AA29" s="32" t="str">
        <f>CREW_LOG!O33</f>
        <v>N</v>
      </c>
      <c r="AB29" s="32" t="str">
        <f>CREW_LOG!H33</f>
        <v>Y</v>
      </c>
      <c r="AC29" s="35">
        <f>CREW_LOG!I33</f>
        <v>0</v>
      </c>
      <c r="AD29" s="36"/>
      <c r="AE29" s="34"/>
    </row>
    <row r="30" spans="1:31" ht="15" customHeight="1" x14ac:dyDescent="0.25">
      <c r="A30" s="54">
        <f>PASSDOWN!B2</f>
        <v>46078</v>
      </c>
      <c r="B30" s="32" t="str">
        <f>PASSDOWN!E2</f>
        <v>3rd</v>
      </c>
      <c r="C30" s="32">
        <v>4</v>
      </c>
      <c r="D30" s="32" t="s">
        <v>172</v>
      </c>
      <c r="E30" s="32" t="s">
        <v>173</v>
      </c>
      <c r="F30" s="32" t="s">
        <v>173</v>
      </c>
      <c r="G30" s="32"/>
      <c r="H30" s="32" t="s">
        <v>131</v>
      </c>
      <c r="I30" s="32"/>
      <c r="J30" s="32" t="str">
        <f>IF(OR(A30="",B30="",C30="",G30=""),"",SUMIFS(EVENTS!$G$5:$G$204,EVENTS!$A$5:$A$204,A30,EVENTS!$B$5:$B$204,B30,EVENTS!$C$5:$C$204,C30,EVENTS!$H$5:$H$204,G30))</f>
        <v/>
      </c>
      <c r="K30" s="35" t="str">
        <f>IF(J30="","",MAX(0,1-J30/IF(PASSDOWN!$U$2="",720,PASSDOWN!$U$2)))</f>
        <v/>
      </c>
      <c r="L30" s="35">
        <f>IFERROR(INDEX(PASSDOWN!$G$11:$G$15,MATCH(C30,PASSDOWN!$A$11:$A$15,0)),"")</f>
        <v>0</v>
      </c>
      <c r="M30" s="33" t="str">
        <f t="shared" si="0"/>
        <v/>
      </c>
      <c r="N30" s="32" t="str">
        <f t="shared" si="1"/>
        <v/>
      </c>
      <c r="O30" s="32" t="s">
        <v>132</v>
      </c>
      <c r="W30" s="32">
        <f>CREW_LOG!C19</f>
        <v>3</v>
      </c>
      <c r="X30" s="32" t="str">
        <f>IFERROR(INDEX(#REF!,MATCH(CREW_LOG!C19,#REF!,0)),"")</f>
        <v/>
      </c>
      <c r="Y30" s="32" t="str">
        <f>CREW_LOG!D19</f>
        <v>Dan Martinez</v>
      </c>
      <c r="Z30" s="32" t="str">
        <f>CREW_LOG!E19</f>
        <v>Checker</v>
      </c>
      <c r="AA30" s="32" t="str">
        <f>CREW_LOG!O19</f>
        <v>N</v>
      </c>
      <c r="AB30" s="32" t="str">
        <f>CREW_LOG!H19</f>
        <v>Y</v>
      </c>
      <c r="AC30" s="35">
        <f>CREW_LOG!I19</f>
        <v>0</v>
      </c>
      <c r="AD30" s="36"/>
      <c r="AE30" s="34"/>
    </row>
    <row r="31" spans="1:31" ht="15" customHeight="1" x14ac:dyDescent="0.25">
      <c r="A31" s="54">
        <f>PASSDOWN!B2</f>
        <v>46078</v>
      </c>
      <c r="B31" s="32" t="str">
        <f>PASSDOWN!E2</f>
        <v>3rd</v>
      </c>
      <c r="C31" s="32">
        <v>4</v>
      </c>
      <c r="D31" s="32" t="s">
        <v>174</v>
      </c>
      <c r="E31" s="32" t="s">
        <v>140</v>
      </c>
      <c r="F31" s="32" t="s">
        <v>140</v>
      </c>
      <c r="G31" s="32"/>
      <c r="H31" s="32" t="s">
        <v>131</v>
      </c>
      <c r="I31" s="32"/>
      <c r="J31" s="32" t="str">
        <f>IF(OR(A31="",B31="",C31="",G31=""),"",SUMIFS(EVENTS!$G$5:$G$204,EVENTS!$A$5:$A$204,A31,EVENTS!$B$5:$B$204,B31,EVENTS!$C$5:$C$204,C31,EVENTS!$H$5:$H$204,G31))</f>
        <v/>
      </c>
      <c r="K31" s="35" t="str">
        <f>IF(J31="","",MAX(0,1-J31/IF(PASSDOWN!$U$2="",720,PASSDOWN!$U$2)))</f>
        <v/>
      </c>
      <c r="L31" s="35">
        <f>IFERROR(INDEX(PASSDOWN!$G$11:$G$15,MATCH(C31,PASSDOWN!$A$11:$A$15,0)),"")</f>
        <v>0</v>
      </c>
      <c r="M31" s="33" t="str">
        <f t="shared" si="0"/>
        <v/>
      </c>
      <c r="N31" s="32" t="str">
        <f t="shared" si="1"/>
        <v/>
      </c>
      <c r="O31" s="32" t="s">
        <v>132</v>
      </c>
      <c r="W31" s="32">
        <f>CREW_LOG!C20</f>
        <v>3</v>
      </c>
      <c r="X31" s="32" t="str">
        <f>IFERROR(INDEX(#REF!,MATCH(CREW_LOG!C20,#REF!,0)),"")</f>
        <v/>
      </c>
      <c r="Y31" s="32" t="str">
        <f>CREW_LOG!D20</f>
        <v>Netafil Belmonte</v>
      </c>
      <c r="Z31" s="32" t="str">
        <f>CREW_LOG!E20</f>
        <v>Depal</v>
      </c>
      <c r="AA31" s="32" t="str">
        <f>CREW_LOG!O20</f>
        <v>N</v>
      </c>
      <c r="AB31" s="32" t="str">
        <f>CREW_LOG!H20</f>
        <v>Y</v>
      </c>
      <c r="AC31" s="35">
        <f>CREW_LOG!I20</f>
        <v>0</v>
      </c>
      <c r="AD31" s="36"/>
      <c r="AE31" s="34"/>
    </row>
    <row r="32" spans="1:31" ht="15" customHeight="1" x14ac:dyDescent="0.25">
      <c r="A32" s="54">
        <f>PASSDOWN!B2</f>
        <v>46078</v>
      </c>
      <c r="B32" s="32" t="str">
        <f>PASSDOWN!E2</f>
        <v>3rd</v>
      </c>
      <c r="C32" s="32">
        <v>4</v>
      </c>
      <c r="D32" s="32" t="s">
        <v>175</v>
      </c>
      <c r="E32" s="32" t="s">
        <v>142</v>
      </c>
      <c r="F32" s="32" t="s">
        <v>142</v>
      </c>
      <c r="G32" s="32"/>
      <c r="H32" s="32" t="s">
        <v>131</v>
      </c>
      <c r="I32" s="32"/>
      <c r="J32" s="32" t="str">
        <f>IF(OR(A32="",B32="",C32="",G32=""),"",SUMIFS(EVENTS!$G$5:$G$204,EVENTS!$A$5:$A$204,A32,EVENTS!$B$5:$B$204,B32,EVENTS!$C$5:$C$204,C32,EVENTS!$H$5:$H$204,G32))</f>
        <v/>
      </c>
      <c r="K32" s="35" t="str">
        <f>IF(J32="","",MAX(0,1-J32/IF(PASSDOWN!$U$2="",720,PASSDOWN!$U$2)))</f>
        <v/>
      </c>
      <c r="L32" s="35">
        <f>IFERROR(INDEX(PASSDOWN!$G$11:$G$15,MATCH(C32,PASSDOWN!$A$11:$A$15,0)),"")</f>
        <v>0</v>
      </c>
      <c r="M32" s="33" t="str">
        <f t="shared" si="0"/>
        <v/>
      </c>
      <c r="N32" s="32" t="str">
        <f t="shared" si="1"/>
        <v/>
      </c>
      <c r="O32" s="32" t="s">
        <v>132</v>
      </c>
      <c r="W32" s="32">
        <f>CREW_LOG!C21</f>
        <v>3</v>
      </c>
      <c r="X32" s="32" t="str">
        <f>IFERROR(INDEX(#REF!,MATCH(CREW_LOG!C21,#REF!,0)),"")</f>
        <v/>
      </c>
      <c r="Y32" s="32" t="str">
        <f>CREW_LOG!D21</f>
        <v>Melesio Velazco</v>
      </c>
      <c r="Z32" s="32" t="str">
        <f>CREW_LOG!E21</f>
        <v>Labeler</v>
      </c>
      <c r="AA32" s="32" t="str">
        <f>CREW_LOG!O21</f>
        <v>N</v>
      </c>
      <c r="AB32" s="32" t="str">
        <f>CREW_LOG!H21</f>
        <v>Y</v>
      </c>
      <c r="AC32" s="35">
        <f>CREW_LOG!I21</f>
        <v>0</v>
      </c>
      <c r="AD32" s="36"/>
      <c r="AE32" s="34"/>
    </row>
    <row r="33" spans="1:31" ht="15" customHeight="1" x14ac:dyDescent="0.25">
      <c r="A33" s="54">
        <f>PASSDOWN!B2</f>
        <v>46078</v>
      </c>
      <c r="B33" s="32" t="str">
        <f>PASSDOWN!E2</f>
        <v>3rd</v>
      </c>
      <c r="C33" s="32">
        <v>4</v>
      </c>
      <c r="D33" s="32" t="s">
        <v>176</v>
      </c>
      <c r="E33" s="32" t="s">
        <v>144</v>
      </c>
      <c r="F33" s="32" t="s">
        <v>144</v>
      </c>
      <c r="G33" s="32"/>
      <c r="H33" s="32" t="s">
        <v>131</v>
      </c>
      <c r="I33" s="32"/>
      <c r="J33" s="32" t="str">
        <f>IF(OR(A33="",B33="",C33="",G33=""),"",SUMIFS(EVENTS!$G$5:$G$204,EVENTS!$A$5:$A$204,A33,EVENTS!$B$5:$B$204,B33,EVENTS!$C$5:$C$204,C33,EVENTS!$H$5:$H$204,G33))</f>
        <v/>
      </c>
      <c r="K33" s="35" t="str">
        <f>IF(J33="","",MAX(0,1-J33/IF(PASSDOWN!$U$2="",720,PASSDOWN!$U$2)))</f>
        <v/>
      </c>
      <c r="L33" s="35">
        <f>IFERROR(INDEX(PASSDOWN!$G$11:$G$15,MATCH(C33,PASSDOWN!$A$11:$A$15,0)),"")</f>
        <v>0</v>
      </c>
      <c r="M33" s="33" t="str">
        <f t="shared" si="0"/>
        <v/>
      </c>
      <c r="N33" s="32" t="str">
        <f t="shared" si="1"/>
        <v/>
      </c>
      <c r="O33" s="32" t="s">
        <v>132</v>
      </c>
      <c r="W33" s="32">
        <f>CREW_LOG!C22</f>
        <v>3</v>
      </c>
      <c r="X33" s="32" t="str">
        <f>IFERROR(INDEX(#REF!,MATCH(CREW_LOG!C22,#REF!,0)),"")</f>
        <v/>
      </c>
      <c r="Y33" s="32" t="str">
        <f>CREW_LOG!D22</f>
        <v>Maria Gonzalez</v>
      </c>
      <c r="Z33" s="32" t="str">
        <f>CREW_LOG!E22</f>
        <v>Caser</v>
      </c>
      <c r="AA33" s="32" t="str">
        <f>CREW_LOG!O22</f>
        <v>N</v>
      </c>
      <c r="AB33" s="32" t="str">
        <f>CREW_LOG!H22</f>
        <v>Y</v>
      </c>
      <c r="AC33" s="35">
        <f>CREW_LOG!I22</f>
        <v>0</v>
      </c>
      <c r="AD33" s="36"/>
      <c r="AE33" s="34"/>
    </row>
    <row r="34" spans="1:31" ht="15" customHeight="1" x14ac:dyDescent="0.25">
      <c r="A34" s="54">
        <f>PASSDOWN!B2</f>
        <v>46078</v>
      </c>
      <c r="B34" s="32" t="str">
        <f>PASSDOWN!E2</f>
        <v>3rd</v>
      </c>
      <c r="C34" s="32">
        <v>5</v>
      </c>
      <c r="D34" s="32" t="s">
        <v>177</v>
      </c>
      <c r="E34" s="32" t="s">
        <v>130</v>
      </c>
      <c r="F34" s="32" t="s">
        <v>130</v>
      </c>
      <c r="G34" s="32"/>
      <c r="H34" s="32" t="s">
        <v>131</v>
      </c>
      <c r="I34" s="32"/>
      <c r="J34" s="32" t="str">
        <f>IF(OR(A34="",B34="",C34="",G34=""),"",SUMIFS(EVENTS!$G$5:$G$204,EVENTS!$A$5:$A$204,A34,EVENTS!$B$5:$B$204,B34,EVENTS!$C$5:$C$204,C34,EVENTS!$H$5:$H$204,G34))</f>
        <v/>
      </c>
      <c r="K34" s="35" t="str">
        <f>IF(J34="","",MAX(0,1-J34/IF(PASSDOWN!$U$2="",720,PASSDOWN!$U$2)))</f>
        <v/>
      </c>
      <c r="L34" s="35">
        <f>IFERROR(INDEX(PASSDOWN!$G$11:$G$15,MATCH(C34,PASSDOWN!$A$11:$A$15,0)),"")</f>
        <v>0</v>
      </c>
      <c r="M34" s="33" t="str">
        <f t="shared" si="0"/>
        <v/>
      </c>
      <c r="N34" s="32" t="str">
        <f t="shared" si="1"/>
        <v/>
      </c>
      <c r="O34" s="32" t="s">
        <v>132</v>
      </c>
      <c r="W34" s="32">
        <f>CREW_LOG!C23</f>
        <v>3</v>
      </c>
      <c r="X34" s="32" t="str">
        <f>IFERROR(INDEX(#REF!,MATCH(CREW_LOG!C23,#REF!,0)),"")</f>
        <v/>
      </c>
      <c r="Y34" s="32" t="str">
        <f>CREW_LOG!D23</f>
        <v>Lorena Velasco</v>
      </c>
      <c r="Z34" s="32" t="str">
        <f>CREW_LOG!E23</f>
        <v>Shrink Tunnel</v>
      </c>
      <c r="AA34" s="32" t="str">
        <f>CREW_LOG!O23</f>
        <v>N</v>
      </c>
      <c r="AB34" s="32" t="str">
        <f>CREW_LOG!H23</f>
        <v>Y</v>
      </c>
      <c r="AC34" s="35">
        <f>CREW_LOG!I23</f>
        <v>0</v>
      </c>
      <c r="AD34" s="36"/>
      <c r="AE34" s="34"/>
    </row>
    <row r="35" spans="1:31" ht="15" customHeight="1" x14ac:dyDescent="0.25">
      <c r="A35" s="54">
        <f>PASSDOWN!B2</f>
        <v>46078</v>
      </c>
      <c r="B35" s="32" t="str">
        <f>PASSDOWN!E2</f>
        <v>3rd</v>
      </c>
      <c r="C35" s="32">
        <v>5</v>
      </c>
      <c r="D35" s="32" t="s">
        <v>178</v>
      </c>
      <c r="E35" s="32" t="s">
        <v>134</v>
      </c>
      <c r="F35" s="32" t="s">
        <v>134</v>
      </c>
      <c r="G35" s="32"/>
      <c r="H35" s="32" t="s">
        <v>131</v>
      </c>
      <c r="I35" s="32"/>
      <c r="J35" s="32" t="str">
        <f>IF(OR(A35="",B35="",C35="",G35=""),"",SUMIFS(EVENTS!$G$5:$G$204,EVENTS!$A$5:$A$204,A35,EVENTS!$B$5:$B$204,B35,EVENTS!$C$5:$C$204,C35,EVENTS!$H$5:$H$204,G35))</f>
        <v/>
      </c>
      <c r="K35" s="35" t="str">
        <f>IF(J35="","",MAX(0,1-J35/IF(PASSDOWN!$U$2="",720,PASSDOWN!$U$2)))</f>
        <v/>
      </c>
      <c r="L35" s="35">
        <f>IFERROR(INDEX(PASSDOWN!$G$11:$G$15,MATCH(C35,PASSDOWN!$A$11:$A$15,0)),"")</f>
        <v>0</v>
      </c>
      <c r="M35" s="33" t="str">
        <f t="shared" si="0"/>
        <v/>
      </c>
      <c r="N35" s="32" t="str">
        <f t="shared" si="1"/>
        <v/>
      </c>
      <c r="O35" s="32" t="s">
        <v>132</v>
      </c>
      <c r="W35" s="32">
        <f>CREW_LOG!C24</f>
        <v>3</v>
      </c>
      <c r="X35" s="32" t="str">
        <f>IFERROR(INDEX(#REF!,MATCH(CREW_LOG!C24,#REF!,0)),"")</f>
        <v/>
      </c>
      <c r="Y35" s="32" t="str">
        <f>CREW_LOG!D24</f>
        <v>Minerva Garza</v>
      </c>
      <c r="Z35" s="32" t="str">
        <f>CREW_LOG!E24</f>
        <v>Palletizer</v>
      </c>
      <c r="AA35" s="32" t="str">
        <f>CREW_LOG!O24</f>
        <v>N</v>
      </c>
      <c r="AB35" s="32" t="str">
        <f>CREW_LOG!H24</f>
        <v>Y</v>
      </c>
      <c r="AC35" s="32">
        <f>CREW_LOG!I24</f>
        <v>0</v>
      </c>
      <c r="AD35" s="27"/>
      <c r="AE35" s="27"/>
    </row>
    <row r="36" spans="1:31" ht="15" customHeight="1" x14ac:dyDescent="0.25">
      <c r="A36" s="54">
        <f>PASSDOWN!B2</f>
        <v>46078</v>
      </c>
      <c r="B36" s="32" t="str">
        <f>PASSDOWN!E2</f>
        <v>3rd</v>
      </c>
      <c r="C36" s="32">
        <v>5</v>
      </c>
      <c r="D36" s="32" t="s">
        <v>179</v>
      </c>
      <c r="E36" s="32" t="s">
        <v>173</v>
      </c>
      <c r="F36" s="32" t="s">
        <v>173</v>
      </c>
      <c r="G36" s="32"/>
      <c r="H36" s="32" t="s">
        <v>131</v>
      </c>
      <c r="I36" s="32"/>
      <c r="J36" s="32" t="str">
        <f>IF(OR(A36="",B36="",C36="",G36=""),"",SUMIFS(EVENTS!$G$5:$G$204,EVENTS!$A$5:$A$204,A36,EVENTS!$B$5:$B$204,B36,EVENTS!$C$5:$C$204,C36,EVENTS!$H$5:$H$204,G36))</f>
        <v/>
      </c>
      <c r="K36" s="35" t="str">
        <f>IF(J36="","",MAX(0,1-J36/IF(PASSDOWN!$U$2="",720,PASSDOWN!$U$2)))</f>
        <v/>
      </c>
      <c r="L36" s="35">
        <f>IFERROR(INDEX(PASSDOWN!$G$11:$G$15,MATCH(C36,PASSDOWN!$A$11:$A$15,0)),"")</f>
        <v>0</v>
      </c>
      <c r="M36" s="33" t="str">
        <f t="shared" si="0"/>
        <v/>
      </c>
      <c r="N36" s="32" t="str">
        <f t="shared" si="1"/>
        <v/>
      </c>
      <c r="O36" s="32" t="s">
        <v>132</v>
      </c>
      <c r="W36" s="32">
        <f>CREW_LOG!C25</f>
        <v>3</v>
      </c>
      <c r="X36" s="32" t="str">
        <f>IFERROR(INDEX(#REF!,MATCH(CREW_LOG!C25,#REF!,0)),"")</f>
        <v/>
      </c>
      <c r="Y36" s="32" t="str">
        <f>CREW_LOG!D25</f>
        <v>Ulises Moreno</v>
      </c>
      <c r="Z36" s="32" t="str">
        <f>CREW_LOG!E25</f>
        <v>Drive Off</v>
      </c>
      <c r="AA36" s="32" t="str">
        <f>CREW_LOG!O25</f>
        <v>N</v>
      </c>
      <c r="AB36" s="32" t="str">
        <f>CREW_LOG!H25</f>
        <v>Y</v>
      </c>
      <c r="AC36" s="32">
        <f>CREW_LOG!I25</f>
        <v>0</v>
      </c>
      <c r="AD36" s="34"/>
      <c r="AE36" s="27"/>
    </row>
    <row r="37" spans="1:31" ht="15" customHeight="1" x14ac:dyDescent="0.25">
      <c r="A37" s="54">
        <f>PASSDOWN!B2</f>
        <v>46078</v>
      </c>
      <c r="B37" s="32" t="str">
        <f>PASSDOWN!E2</f>
        <v>3rd</v>
      </c>
      <c r="C37" s="32">
        <v>5</v>
      </c>
      <c r="D37" s="32" t="s">
        <v>180</v>
      </c>
      <c r="E37" s="32" t="s">
        <v>140</v>
      </c>
      <c r="F37" s="32" t="s">
        <v>140</v>
      </c>
      <c r="G37" s="32"/>
      <c r="H37" s="32" t="s">
        <v>131</v>
      </c>
      <c r="I37" s="32"/>
      <c r="J37" s="32" t="str">
        <f>IF(OR(A37="",B37="",C37="",G37=""),"",SUMIFS(EVENTS!$G$5:$G$204,EVENTS!$A$5:$A$204,A37,EVENTS!$B$5:$B$204,B37,EVENTS!$C$5:$C$204,C37,EVENTS!$H$5:$H$204,G37))</f>
        <v/>
      </c>
      <c r="K37" s="35" t="str">
        <f>IF(J37="","",MAX(0,1-J37/IF(PASSDOWN!$U$2="",720,PASSDOWN!$U$2)))</f>
        <v/>
      </c>
      <c r="L37" s="35">
        <f>IFERROR(INDEX(PASSDOWN!$G$11:$G$15,MATCH(C37,PASSDOWN!$A$11:$A$15,0)),"")</f>
        <v>0</v>
      </c>
      <c r="M37" s="33" t="str">
        <f t="shared" si="0"/>
        <v/>
      </c>
      <c r="N37" s="32" t="str">
        <f t="shared" si="1"/>
        <v/>
      </c>
      <c r="O37" s="32" t="s">
        <v>132</v>
      </c>
      <c r="W37" s="32">
        <f>CREW_LOG!C34</f>
        <v>5</v>
      </c>
      <c r="X37" s="32" t="str">
        <f>IFERROR(INDEX(#REF!,MATCH(CREW_LOG!C34,#REF!,0)),"")</f>
        <v/>
      </c>
      <c r="Y37" s="32" t="str">
        <f>CREW_LOG!D34</f>
        <v>Arlene Martinez</v>
      </c>
      <c r="Z37" s="32" t="str">
        <f>CREW_LOG!E34</f>
        <v>Checker</v>
      </c>
      <c r="AA37" s="32" t="str">
        <f>CREW_LOG!O34</f>
        <v>N</v>
      </c>
      <c r="AB37" s="32" t="str">
        <f>CREW_LOG!H34</f>
        <v>Y</v>
      </c>
      <c r="AC37" s="32">
        <f>CREW_LOG!I34</f>
        <v>0</v>
      </c>
      <c r="AD37" s="27"/>
      <c r="AE37" s="27"/>
    </row>
    <row r="38" spans="1:31" ht="15" customHeight="1" x14ac:dyDescent="0.25">
      <c r="A38" s="55">
        <f>PASSDOWN!B2</f>
        <v>46078</v>
      </c>
      <c r="B38" s="56" t="str">
        <f>PASSDOWN!E2</f>
        <v>3rd</v>
      </c>
      <c r="C38" s="56"/>
      <c r="D38" s="56" t="s">
        <v>181</v>
      </c>
      <c r="E38" s="56" t="s">
        <v>182</v>
      </c>
      <c r="F38" s="56"/>
      <c r="G38" s="56"/>
      <c r="H38" s="56" t="s">
        <v>131</v>
      </c>
      <c r="I38" s="56" t="s">
        <v>183</v>
      </c>
      <c r="J38" s="57" t="str">
        <f>IF(OR(A38="",B38="",C38="",G38=""),"",SUMIFS(EVENTS!$G$5:$G$204,EVENTS!$A$5:$A$204,A38,EVENTS!$B$5:$B$204,B38,EVENTS!$C$5:$C$204,C38,EVENTS!$H$5:$H$204,G38))</f>
        <v/>
      </c>
      <c r="K38" s="58" t="str">
        <f>IF(J38="","",MAX(0,1-J38/IF(PASSDOWN!$U$2="",720,PASSDOWN!$U$2)))</f>
        <v/>
      </c>
      <c r="L38" s="58" t="str">
        <f>IFERROR(INDEX(PASSDOWN!$G$11:$G$15,MATCH(C38,PASSDOWN!$A$11:$A$15,0)),"")</f>
        <v/>
      </c>
      <c r="M38" s="59" t="str">
        <f t="shared" si="0"/>
        <v/>
      </c>
      <c r="N38" s="57" t="str">
        <f t="shared" si="1"/>
        <v/>
      </c>
      <c r="O38" s="60" t="s">
        <v>131</v>
      </c>
      <c r="W38" s="32">
        <f>CREW_LOG!C35</f>
        <v>5</v>
      </c>
      <c r="X38" s="32" t="str">
        <f>IFERROR(INDEX(#REF!,MATCH(CREW_LOG!C35,#REF!,0)),"")</f>
        <v/>
      </c>
      <c r="Y38" s="32" t="str">
        <f>CREW_LOG!D35</f>
        <v>Angelina Childtveep</v>
      </c>
      <c r="Z38" s="32" t="str">
        <f>CREW_LOG!E35</f>
        <v>Labeler</v>
      </c>
      <c r="AA38" s="32" t="str">
        <f>CREW_LOG!O35</f>
        <v>N</v>
      </c>
      <c r="AB38" s="32" t="str">
        <f>CREW_LOG!H35</f>
        <v>Y</v>
      </c>
      <c r="AC38" s="32">
        <f>CREW_LOG!I35</f>
        <v>0</v>
      </c>
      <c r="AD38" s="27"/>
      <c r="AE38" s="27"/>
    </row>
    <row r="39" spans="1:31" ht="15" customHeight="1" x14ac:dyDescent="0.25">
      <c r="A39" s="55">
        <f>PASSDOWN!B2</f>
        <v>46078</v>
      </c>
      <c r="B39" s="56" t="str">
        <f>PASSDOWN!E2</f>
        <v>3rd</v>
      </c>
      <c r="C39" s="56"/>
      <c r="D39" s="56" t="s">
        <v>184</v>
      </c>
      <c r="E39" s="56" t="s">
        <v>182</v>
      </c>
      <c r="F39" s="56"/>
      <c r="G39" s="56"/>
      <c r="H39" s="56" t="s">
        <v>131</v>
      </c>
      <c r="I39" s="56" t="s">
        <v>183</v>
      </c>
      <c r="J39" s="57" t="str">
        <f>IF(OR(A39="",B39="",C39="",G39=""),"",SUMIFS(EVENTS!$G$5:$G$204,EVENTS!$A$5:$A$204,A39,EVENTS!$B$5:$B$204,B39,EVENTS!$C$5:$C$204,C39,EVENTS!$H$5:$H$204,G39))</f>
        <v/>
      </c>
      <c r="K39" s="58" t="str">
        <f>IF(J39="","",MAX(0,1-J39/IF(PASSDOWN!$U$2="",720,PASSDOWN!$U$2)))</f>
        <v/>
      </c>
      <c r="L39" s="58" t="str">
        <f>IFERROR(INDEX(PASSDOWN!$G$11:$G$15,MATCH(C39,PASSDOWN!$A$11:$A$15,0)),"")</f>
        <v/>
      </c>
      <c r="M39" s="59" t="str">
        <f t="shared" si="0"/>
        <v/>
      </c>
      <c r="N39" s="57" t="str">
        <f t="shared" si="1"/>
        <v/>
      </c>
      <c r="O39" s="60" t="s">
        <v>131</v>
      </c>
      <c r="W39" s="32">
        <f>CREW_LOG!C36</f>
        <v>5</v>
      </c>
      <c r="X39" s="32" t="str">
        <f>IFERROR(INDEX(#REF!,MATCH(CREW_LOG!C36,#REF!,0)),"")</f>
        <v/>
      </c>
      <c r="Y39" s="32" t="str">
        <f>CREW_LOG!D36</f>
        <v>Adriana Dupairon</v>
      </c>
      <c r="Z39" s="32" t="str">
        <f>CREW_LOG!E36</f>
        <v>Traypacker</v>
      </c>
      <c r="AA39" s="32" t="str">
        <f>CREW_LOG!O36</f>
        <v>N</v>
      </c>
      <c r="AB39" s="32" t="str">
        <f>CREW_LOG!H36</f>
        <v>Y</v>
      </c>
      <c r="AC39" s="32">
        <f>CREW_LOG!I36</f>
        <v>0</v>
      </c>
      <c r="AD39" s="27"/>
      <c r="AE39" s="27"/>
    </row>
    <row r="40" spans="1:31" ht="15" customHeight="1" x14ac:dyDescent="0.25">
      <c r="A40" s="55">
        <f>PASSDOWN!B2</f>
        <v>46078</v>
      </c>
      <c r="B40" s="56" t="str">
        <f>PASSDOWN!E2</f>
        <v>3rd</v>
      </c>
      <c r="C40" s="56"/>
      <c r="D40" s="56" t="s">
        <v>185</v>
      </c>
      <c r="E40" s="56" t="s">
        <v>182</v>
      </c>
      <c r="F40" s="56"/>
      <c r="G40" s="56"/>
      <c r="H40" s="56" t="s">
        <v>131</v>
      </c>
      <c r="I40" s="56" t="s">
        <v>183</v>
      </c>
      <c r="J40" s="57" t="str">
        <f>IF(OR(A40="",B40="",C40="",G40=""),"",SUMIFS(EVENTS!$G$5:$G$204,EVENTS!$A$5:$A$204,A40,EVENTS!$B$5:$B$204,B40,EVENTS!$C$5:$C$204,C40,EVENTS!$H$5:$H$204,G40))</f>
        <v/>
      </c>
      <c r="K40" s="58" t="str">
        <f>IF(J40="","",MAX(0,1-J40/IF(PASSDOWN!$U$2="",720,PASSDOWN!$U$2)))</f>
        <v/>
      </c>
      <c r="L40" s="58" t="str">
        <f>IFERROR(INDEX(PASSDOWN!$G$11:$G$15,MATCH(C40,PASSDOWN!$A$11:$A$15,0)),"")</f>
        <v/>
      </c>
      <c r="M40" s="59" t="str">
        <f t="shared" si="0"/>
        <v/>
      </c>
      <c r="N40" s="57" t="str">
        <f t="shared" si="1"/>
        <v/>
      </c>
      <c r="O40" s="60" t="s">
        <v>131</v>
      </c>
      <c r="W40" s="32">
        <f>CREW_LOG!C37</f>
        <v>5</v>
      </c>
      <c r="X40" s="32" t="str">
        <f>IFERROR(INDEX(#REF!,MATCH(CREW_LOG!C37,#REF!,0)),"")</f>
        <v/>
      </c>
      <c r="Y40" s="32" t="str">
        <f>CREW_LOG!D37</f>
        <v>Vanessa Gonzalez</v>
      </c>
      <c r="Z40" s="32" t="str">
        <f>CREW_LOG!E37</f>
        <v>Palletizer</v>
      </c>
      <c r="AA40" s="32" t="str">
        <f>CREW_LOG!O37</f>
        <v>N</v>
      </c>
      <c r="AB40" s="32" t="str">
        <f>CREW_LOG!H37</f>
        <v>Y</v>
      </c>
      <c r="AC40" s="32">
        <f>CREW_LOG!I37</f>
        <v>0</v>
      </c>
      <c r="AD40" s="27"/>
      <c r="AE40" s="27"/>
    </row>
    <row r="41" spans="1:31" ht="15" customHeight="1" x14ac:dyDescent="0.25">
      <c r="A41" s="55">
        <f>PASSDOWN!B2</f>
        <v>46078</v>
      </c>
      <c r="B41" s="56" t="str">
        <f>PASSDOWN!E2</f>
        <v>3rd</v>
      </c>
      <c r="C41" s="56"/>
      <c r="D41" s="56" t="s">
        <v>186</v>
      </c>
      <c r="E41" s="56" t="s">
        <v>182</v>
      </c>
      <c r="F41" s="56"/>
      <c r="G41" s="56"/>
      <c r="H41" s="56" t="s">
        <v>131</v>
      </c>
      <c r="I41" s="56" t="s">
        <v>183</v>
      </c>
      <c r="J41" s="57" t="str">
        <f>IF(OR(A41="",B41="",C41="",G41=""),"",SUMIFS(EVENTS!$G$5:$G$204,EVENTS!$A$5:$A$204,A41,EVENTS!$B$5:$B$204,B41,EVENTS!$C$5:$C$204,C41,EVENTS!$H$5:$H$204,G41))</f>
        <v/>
      </c>
      <c r="K41" s="58" t="str">
        <f>IF(J41="","",MAX(0,1-J41/IF(PASSDOWN!$U$2="",720,PASSDOWN!$U$2)))</f>
        <v/>
      </c>
      <c r="L41" s="58" t="str">
        <f>IFERROR(INDEX(PASSDOWN!$G$11:$G$15,MATCH(C41,PASSDOWN!$A$11:$A$15,0)),"")</f>
        <v/>
      </c>
      <c r="M41" s="59" t="str">
        <f t="shared" si="0"/>
        <v/>
      </c>
      <c r="N41" s="57" t="str">
        <f t="shared" si="1"/>
        <v/>
      </c>
      <c r="O41" s="60" t="s">
        <v>131</v>
      </c>
    </row>
    <row r="42" spans="1:31" ht="15" customHeight="1" x14ac:dyDescent="0.25">
      <c r="A42" s="55">
        <f>PASSDOWN!B2</f>
        <v>46078</v>
      </c>
      <c r="B42" s="56" t="str">
        <f>PASSDOWN!E2</f>
        <v>3rd</v>
      </c>
      <c r="C42" s="56"/>
      <c r="D42" s="56" t="s">
        <v>187</v>
      </c>
      <c r="E42" s="56" t="s">
        <v>182</v>
      </c>
      <c r="F42" s="56"/>
      <c r="G42" s="56"/>
      <c r="H42" s="56" t="s">
        <v>131</v>
      </c>
      <c r="I42" s="56" t="s">
        <v>183</v>
      </c>
      <c r="J42" s="57" t="str">
        <f>IF(OR(A42="",B42="",C42="",G42=""),"",SUMIFS(EVENTS!$G$5:$G$204,EVENTS!$A$5:$A$204,A42,EVENTS!$B$5:$B$204,B42,EVENTS!$C$5:$C$204,C42,EVENTS!$H$5:$H$204,G42))</f>
        <v/>
      </c>
      <c r="K42" s="58" t="str">
        <f>IF(J42="","",MAX(0,1-J42/IF(PASSDOWN!$U$2="",720,PASSDOWN!$U$2)))</f>
        <v/>
      </c>
      <c r="L42" s="58" t="str">
        <f>IFERROR(INDEX(PASSDOWN!$G$11:$G$15,MATCH(C42,PASSDOWN!$A$11:$A$15,0)),"")</f>
        <v/>
      </c>
      <c r="M42" s="59" t="str">
        <f t="shared" si="0"/>
        <v/>
      </c>
      <c r="N42" s="57" t="str">
        <f t="shared" si="1"/>
        <v/>
      </c>
      <c r="O42" s="60" t="s">
        <v>131</v>
      </c>
    </row>
    <row r="43" spans="1:31" ht="15" customHeight="1" x14ac:dyDescent="0.25">
      <c r="A43" s="55">
        <f>PASSDOWN!B2</f>
        <v>46078</v>
      </c>
      <c r="B43" s="56" t="str">
        <f>PASSDOWN!E2</f>
        <v>3rd</v>
      </c>
      <c r="C43" s="56"/>
      <c r="D43" s="56" t="s">
        <v>188</v>
      </c>
      <c r="E43" s="56" t="s">
        <v>182</v>
      </c>
      <c r="F43" s="56"/>
      <c r="G43" s="56"/>
      <c r="H43" s="56" t="s">
        <v>131</v>
      </c>
      <c r="I43" s="56" t="s">
        <v>183</v>
      </c>
      <c r="J43" s="57" t="str">
        <f>IF(OR(A43="",B43="",C43="",G43=""),"",SUMIFS(EVENTS!$G$5:$G$204,EVENTS!$A$5:$A$204,A43,EVENTS!$B$5:$B$204,B43,EVENTS!$C$5:$C$204,C43,EVENTS!$H$5:$H$204,G43))</f>
        <v/>
      </c>
      <c r="K43" s="58" t="str">
        <f>IF(J43="","",MAX(0,1-J43/IF(PASSDOWN!$U$2="",720,PASSDOWN!$U$2)))</f>
        <v/>
      </c>
      <c r="L43" s="58" t="str">
        <f>IFERROR(INDEX(PASSDOWN!$G$11:$G$15,MATCH(C43,PASSDOWN!$A$11:$A$15,0)),"")</f>
        <v/>
      </c>
      <c r="M43" s="59" t="str">
        <f t="shared" si="0"/>
        <v/>
      </c>
      <c r="N43" s="57" t="str">
        <f t="shared" si="1"/>
        <v/>
      </c>
      <c r="O43" s="60" t="s">
        <v>131</v>
      </c>
    </row>
    <row r="44" spans="1:31" ht="15" customHeight="1" x14ac:dyDescent="0.25">
      <c r="A44" s="55">
        <f>PASSDOWN!B2</f>
        <v>46078</v>
      </c>
      <c r="B44" s="56" t="str">
        <f>PASSDOWN!E2</f>
        <v>3rd</v>
      </c>
      <c r="C44" s="56"/>
      <c r="D44" s="56" t="s">
        <v>189</v>
      </c>
      <c r="E44" s="56" t="s">
        <v>182</v>
      </c>
      <c r="F44" s="56"/>
      <c r="G44" s="56"/>
      <c r="H44" s="56" t="s">
        <v>131</v>
      </c>
      <c r="I44" s="56" t="s">
        <v>183</v>
      </c>
      <c r="J44" s="57" t="str">
        <f>IF(OR(A44="",B44="",C44="",G44=""),"",SUMIFS(EVENTS!$G$5:$G$204,EVENTS!$A$5:$A$204,A44,EVENTS!$B$5:$B$204,B44,EVENTS!$C$5:$C$204,C44,EVENTS!$H$5:$H$204,G44))</f>
        <v/>
      </c>
      <c r="K44" s="58" t="str">
        <f>IF(J44="","",MAX(0,1-J44/IF(PASSDOWN!$U$2="",720,PASSDOWN!$U$2)))</f>
        <v/>
      </c>
      <c r="L44" s="58" t="str">
        <f>IFERROR(INDEX(PASSDOWN!$G$11:$G$15,MATCH(C44,PASSDOWN!$A$11:$A$15,0)),"")</f>
        <v/>
      </c>
      <c r="M44" s="59" t="str">
        <f t="shared" si="0"/>
        <v/>
      </c>
      <c r="N44" s="57" t="str">
        <f t="shared" si="1"/>
        <v/>
      </c>
      <c r="O44" s="60" t="s">
        <v>131</v>
      </c>
    </row>
    <row r="45" spans="1:31" ht="15" customHeight="1" x14ac:dyDescent="0.25">
      <c r="A45" s="55">
        <f>PASSDOWN!B2</f>
        <v>46078</v>
      </c>
      <c r="B45" s="56" t="str">
        <f>PASSDOWN!E2</f>
        <v>3rd</v>
      </c>
      <c r="C45" s="56"/>
      <c r="D45" s="56" t="s">
        <v>190</v>
      </c>
      <c r="E45" s="56" t="s">
        <v>182</v>
      </c>
      <c r="F45" s="56"/>
      <c r="G45" s="56"/>
      <c r="H45" s="56" t="s">
        <v>131</v>
      </c>
      <c r="I45" s="56" t="s">
        <v>183</v>
      </c>
      <c r="J45" s="57" t="str">
        <f>IF(OR(A45="",B45="",C45="",G45=""),"",SUMIFS(EVENTS!$G$5:$G$204,EVENTS!$A$5:$A$204,A45,EVENTS!$B$5:$B$204,B45,EVENTS!$C$5:$C$204,C45,EVENTS!$H$5:$H$204,G45))</f>
        <v/>
      </c>
      <c r="K45" s="58" t="str">
        <f>IF(J45="","",MAX(0,1-J45/IF(PASSDOWN!$U$2="",720,PASSDOWN!$U$2)))</f>
        <v/>
      </c>
      <c r="L45" s="58" t="str">
        <f>IFERROR(INDEX(PASSDOWN!$G$11:$G$15,MATCH(C45,PASSDOWN!$A$11:$A$15,0)),"")</f>
        <v/>
      </c>
      <c r="M45" s="59" t="str">
        <f t="shared" si="0"/>
        <v/>
      </c>
      <c r="N45" s="57" t="str">
        <f t="shared" si="1"/>
        <v/>
      </c>
      <c r="O45" s="60" t="s">
        <v>131</v>
      </c>
    </row>
    <row r="46" spans="1:31" ht="15" customHeight="1" x14ac:dyDescent="0.25">
      <c r="A46" s="55">
        <f>PASSDOWN!B2</f>
        <v>46078</v>
      </c>
      <c r="B46" s="56" t="str">
        <f>PASSDOWN!E2</f>
        <v>3rd</v>
      </c>
      <c r="C46" s="56"/>
      <c r="D46" s="56" t="s">
        <v>191</v>
      </c>
      <c r="E46" s="56" t="s">
        <v>192</v>
      </c>
      <c r="F46" s="56"/>
      <c r="G46" s="56"/>
      <c r="H46" s="56" t="s">
        <v>131</v>
      </c>
      <c r="I46" s="56" t="s">
        <v>193</v>
      </c>
      <c r="J46" s="57" t="str">
        <f>IF(OR(A46="",B46="",C46="",G46=""),"",SUMIFS(EVENTS!$G$5:$G$204,EVENTS!$A$5:$A$204,A46,EVENTS!$B$5:$B$204,B46,EVENTS!$C$5:$C$204,C46,EVENTS!$H$5:$H$204,G46))</f>
        <v/>
      </c>
      <c r="K46" s="58" t="str">
        <f>IF(J46="","",MAX(0,1-J46/IF(PASSDOWN!$U$2="",720,PASSDOWN!$U$2)))</f>
        <v/>
      </c>
      <c r="L46" s="58" t="str">
        <f>IFERROR(INDEX(PASSDOWN!$G$11:$G$15,MATCH(C46,PASSDOWN!$A$11:$A$15,0)),"")</f>
        <v/>
      </c>
      <c r="M46" s="59" t="str">
        <f t="shared" si="0"/>
        <v/>
      </c>
      <c r="N46" s="57" t="str">
        <f t="shared" si="1"/>
        <v/>
      </c>
      <c r="O46" s="60" t="s">
        <v>131</v>
      </c>
    </row>
    <row r="47" spans="1:31" ht="15" customHeight="1" x14ac:dyDescent="0.25">
      <c r="A47" s="55">
        <f>PASSDOWN!B2</f>
        <v>46078</v>
      </c>
      <c r="B47" s="56" t="str">
        <f>PASSDOWN!E2</f>
        <v>3rd</v>
      </c>
      <c r="C47" s="56"/>
      <c r="D47" s="56" t="s">
        <v>194</v>
      </c>
      <c r="E47" s="56" t="s">
        <v>192</v>
      </c>
      <c r="F47" s="56"/>
      <c r="G47" s="56"/>
      <c r="H47" s="56" t="s">
        <v>131</v>
      </c>
      <c r="I47" s="56" t="s">
        <v>193</v>
      </c>
      <c r="J47" s="57" t="str">
        <f>IF(OR(A47="",B47="",C47="",G47=""),"",SUMIFS(EVENTS!$G$5:$G$204,EVENTS!$A$5:$A$204,A47,EVENTS!$B$5:$B$204,B47,EVENTS!$C$5:$C$204,C47,EVENTS!$H$5:$H$204,G47))</f>
        <v/>
      </c>
      <c r="K47" s="58" t="str">
        <f>IF(J47="","",MAX(0,1-J47/IF(PASSDOWN!$U$2="",720,PASSDOWN!$U$2)))</f>
        <v/>
      </c>
      <c r="L47" s="58" t="str">
        <f>IFERROR(INDEX(PASSDOWN!$G$11:$G$15,MATCH(C47,PASSDOWN!$A$11:$A$15,0)),"")</f>
        <v/>
      </c>
      <c r="M47" s="59" t="str">
        <f t="shared" si="0"/>
        <v/>
      </c>
      <c r="N47" s="57" t="str">
        <f t="shared" si="1"/>
        <v/>
      </c>
      <c r="O47" s="60" t="s">
        <v>131</v>
      </c>
    </row>
    <row r="48" spans="1:31" ht="15" customHeight="1" x14ac:dyDescent="0.25">
      <c r="A48" s="55">
        <f>PASSDOWN!B2</f>
        <v>46078</v>
      </c>
      <c r="B48" s="56" t="str">
        <f>PASSDOWN!E2</f>
        <v>3rd</v>
      </c>
      <c r="C48" s="56"/>
      <c r="D48" s="56" t="s">
        <v>195</v>
      </c>
      <c r="E48" s="56" t="s">
        <v>192</v>
      </c>
      <c r="F48" s="56"/>
      <c r="G48" s="56"/>
      <c r="H48" s="56" t="s">
        <v>131</v>
      </c>
      <c r="I48" s="56" t="s">
        <v>193</v>
      </c>
      <c r="J48" s="57" t="str">
        <f>IF(OR(A48="",B48="",C48="",G48=""),"",SUMIFS(EVENTS!$G$5:$G$204,EVENTS!$A$5:$A$204,A48,EVENTS!$B$5:$B$204,B48,EVENTS!$C$5:$C$204,C48,EVENTS!$H$5:$H$204,G48))</f>
        <v/>
      </c>
      <c r="K48" s="58" t="str">
        <f>IF(J48="","",MAX(0,1-J48/IF(PASSDOWN!$U$2="",720,PASSDOWN!$U$2)))</f>
        <v/>
      </c>
      <c r="L48" s="58" t="str">
        <f>IFERROR(INDEX(PASSDOWN!$G$11:$G$15,MATCH(C48,PASSDOWN!$A$11:$A$15,0)),"")</f>
        <v/>
      </c>
      <c r="M48" s="59" t="str">
        <f t="shared" si="0"/>
        <v/>
      </c>
      <c r="N48" s="57" t="str">
        <f t="shared" si="1"/>
        <v/>
      </c>
      <c r="O48" s="60" t="s">
        <v>131</v>
      </c>
    </row>
    <row r="49" spans="1:15" ht="15" customHeight="1" x14ac:dyDescent="0.25">
      <c r="A49" s="55">
        <f>PASSDOWN!B2</f>
        <v>46078</v>
      </c>
      <c r="B49" s="56" t="str">
        <f>PASSDOWN!E2</f>
        <v>3rd</v>
      </c>
      <c r="C49" s="56"/>
      <c r="D49" s="56" t="s">
        <v>196</v>
      </c>
      <c r="E49" s="56" t="s">
        <v>192</v>
      </c>
      <c r="F49" s="56"/>
      <c r="G49" s="56"/>
      <c r="H49" s="56" t="s">
        <v>131</v>
      </c>
      <c r="I49" s="56" t="s">
        <v>193</v>
      </c>
      <c r="J49" s="57" t="str">
        <f>IF(OR(A49="",B49="",C49="",G49=""),"",SUMIFS(EVENTS!$G$5:$G$204,EVENTS!$A$5:$A$204,A49,EVENTS!$B$5:$B$204,B49,EVENTS!$C$5:$C$204,C49,EVENTS!$H$5:$H$204,G49))</f>
        <v/>
      </c>
      <c r="K49" s="58" t="str">
        <f>IF(J49="","",MAX(0,1-J49/IF(PASSDOWN!$U$2="",720,PASSDOWN!$U$2)))</f>
        <v/>
      </c>
      <c r="L49" s="58" t="str">
        <f>IFERROR(INDEX(PASSDOWN!$G$11:$G$15,MATCH(C49,PASSDOWN!$A$11:$A$15,0)),"")</f>
        <v/>
      </c>
      <c r="M49" s="59" t="str">
        <f t="shared" si="0"/>
        <v/>
      </c>
      <c r="N49" s="57" t="str">
        <f t="shared" si="1"/>
        <v/>
      </c>
      <c r="O49" s="60" t="s">
        <v>131</v>
      </c>
    </row>
    <row r="50" spans="1:15" ht="15" customHeight="1" x14ac:dyDescent="0.25">
      <c r="A50" s="55">
        <f>PASSDOWN!B2</f>
        <v>46078</v>
      </c>
      <c r="B50" s="56" t="str">
        <f>PASSDOWN!E2</f>
        <v>3rd</v>
      </c>
      <c r="C50" s="56"/>
      <c r="D50" s="56" t="s">
        <v>197</v>
      </c>
      <c r="E50" s="56" t="s">
        <v>192</v>
      </c>
      <c r="F50" s="56"/>
      <c r="G50" s="56"/>
      <c r="H50" s="56" t="s">
        <v>131</v>
      </c>
      <c r="I50" s="56" t="s">
        <v>193</v>
      </c>
      <c r="J50" s="57" t="str">
        <f>IF(OR(A50="",B50="",C50="",G50=""),"",SUMIFS(EVENTS!$G$5:$G$204,EVENTS!$A$5:$A$204,A50,EVENTS!$B$5:$B$204,B50,EVENTS!$C$5:$C$204,C50,EVENTS!$H$5:$H$204,G50))</f>
        <v/>
      </c>
      <c r="K50" s="58" t="str">
        <f>IF(J50="","",MAX(0,1-J50/IF(PASSDOWN!$U$2="",720,PASSDOWN!$U$2)))</f>
        <v/>
      </c>
      <c r="L50" s="58" t="str">
        <f>IFERROR(INDEX(PASSDOWN!$G$11:$G$15,MATCH(C50,PASSDOWN!$A$11:$A$15,0)),"")</f>
        <v/>
      </c>
      <c r="M50" s="59" t="str">
        <f t="shared" si="0"/>
        <v/>
      </c>
      <c r="N50" s="57" t="str">
        <f t="shared" si="1"/>
        <v/>
      </c>
      <c r="O50" s="60" t="s">
        <v>131</v>
      </c>
    </row>
    <row r="51" spans="1:15" ht="15" customHeight="1" x14ac:dyDescent="0.25">
      <c r="A51" s="55">
        <f>PASSDOWN!B2</f>
        <v>46078</v>
      </c>
      <c r="B51" s="56" t="str">
        <f>PASSDOWN!E2</f>
        <v>3rd</v>
      </c>
      <c r="C51" s="56"/>
      <c r="D51" s="56" t="s">
        <v>198</v>
      </c>
      <c r="E51" s="56" t="s">
        <v>192</v>
      </c>
      <c r="F51" s="56"/>
      <c r="G51" s="56"/>
      <c r="H51" s="56" t="s">
        <v>131</v>
      </c>
      <c r="I51" s="56" t="s">
        <v>193</v>
      </c>
      <c r="J51" s="57" t="str">
        <f>IF(OR(A51="",B51="",C51="",G51=""),"",SUMIFS(EVENTS!$G$5:$G$204,EVENTS!$A$5:$A$204,A51,EVENTS!$B$5:$B$204,B51,EVENTS!$C$5:$C$204,C51,EVENTS!$H$5:$H$204,G51))</f>
        <v/>
      </c>
      <c r="K51" s="58" t="str">
        <f>IF(J51="","",MAX(0,1-J51/IF(PASSDOWN!$U$2="",720,PASSDOWN!$U$2)))</f>
        <v/>
      </c>
      <c r="L51" s="58" t="str">
        <f>IFERROR(INDEX(PASSDOWN!$G$11:$G$15,MATCH(C51,PASSDOWN!$A$11:$A$15,0)),"")</f>
        <v/>
      </c>
      <c r="M51" s="59" t="str">
        <f t="shared" si="0"/>
        <v/>
      </c>
      <c r="N51" s="57" t="str">
        <f t="shared" si="1"/>
        <v/>
      </c>
      <c r="O51" s="60" t="s">
        <v>131</v>
      </c>
    </row>
    <row r="52" spans="1:15" ht="15" customHeight="1" x14ac:dyDescent="0.25">
      <c r="A52" s="55">
        <f>PASSDOWN!B2</f>
        <v>46078</v>
      </c>
      <c r="B52" s="56" t="str">
        <f>PASSDOWN!E2</f>
        <v>3rd</v>
      </c>
      <c r="C52" s="56"/>
      <c r="D52" s="56" t="s">
        <v>199</v>
      </c>
      <c r="E52" s="56" t="s">
        <v>192</v>
      </c>
      <c r="F52" s="56"/>
      <c r="G52" s="56"/>
      <c r="H52" s="56" t="s">
        <v>131</v>
      </c>
      <c r="I52" s="56" t="s">
        <v>193</v>
      </c>
      <c r="J52" s="57" t="str">
        <f>IF(OR(A52="",B52="",C52="",G52=""),"",SUMIFS(EVENTS!$G$5:$G$204,EVENTS!$A$5:$A$204,A52,EVENTS!$B$5:$B$204,B52,EVENTS!$C$5:$C$204,C52,EVENTS!$H$5:$H$204,G52))</f>
        <v/>
      </c>
      <c r="K52" s="58" t="str">
        <f>IF(J52="","",MAX(0,1-J52/IF(PASSDOWN!$U$2="",720,PASSDOWN!$U$2)))</f>
        <v/>
      </c>
      <c r="L52" s="58" t="str">
        <f>IFERROR(INDEX(PASSDOWN!$G$11:$G$15,MATCH(C52,PASSDOWN!$A$11:$A$15,0)),"")</f>
        <v/>
      </c>
      <c r="M52" s="59" t="str">
        <f t="shared" si="0"/>
        <v/>
      </c>
      <c r="N52" s="57" t="str">
        <f t="shared" si="1"/>
        <v/>
      </c>
      <c r="O52" s="60" t="s">
        <v>131</v>
      </c>
    </row>
    <row r="53" spans="1:15" ht="15" customHeight="1" x14ac:dyDescent="0.25">
      <c r="A53" s="55">
        <f>PASSDOWN!B2</f>
        <v>46078</v>
      </c>
      <c r="B53" s="56" t="str">
        <f>PASSDOWN!E2</f>
        <v>3rd</v>
      </c>
      <c r="C53" s="56"/>
      <c r="D53" s="56" t="s">
        <v>200</v>
      </c>
      <c r="E53" s="56" t="s">
        <v>192</v>
      </c>
      <c r="F53" s="56"/>
      <c r="G53" s="56"/>
      <c r="H53" s="56" t="s">
        <v>131</v>
      </c>
      <c r="I53" s="56" t="s">
        <v>193</v>
      </c>
      <c r="J53" s="57" t="str">
        <f>IF(OR(A53="",B53="",C53="",G53=""),"",SUMIFS(EVENTS!$G$5:$G$204,EVENTS!$A$5:$A$204,A53,EVENTS!$B$5:$B$204,B53,EVENTS!$C$5:$C$204,C53,EVENTS!$H$5:$H$204,G53))</f>
        <v/>
      </c>
      <c r="K53" s="58" t="str">
        <f>IF(J53="","",MAX(0,1-J53/IF(PASSDOWN!$U$2="",720,PASSDOWN!$U$2)))</f>
        <v/>
      </c>
      <c r="L53" s="58" t="str">
        <f>IFERROR(INDEX(PASSDOWN!$G$11:$G$15,MATCH(C53,PASSDOWN!$A$11:$A$15,0)),"")</f>
        <v/>
      </c>
      <c r="M53" s="59" t="str">
        <f t="shared" si="0"/>
        <v/>
      </c>
      <c r="N53" s="57" t="str">
        <f t="shared" si="1"/>
        <v/>
      </c>
      <c r="O53" s="60" t="s">
        <v>131</v>
      </c>
    </row>
    <row r="54" spans="1:15" ht="15" customHeight="1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2" t="str">
        <f>IF(OR(A54="",B54="",C54="",G54=""),"",SUMIFS(EVENTS!$G$5:$G$204,EVENTS!$A$5:$A$204,A54,EVENTS!$B$5:$B$204,B54,EVENTS!$C$5:$C$204,C54,EVENTS!$H$5:$H$204,G54))</f>
        <v/>
      </c>
      <c r="K54" s="63" t="str">
        <f>IF(J54="","",MAX(0,1-J54/IF(PASSDOWN!$U$2="",720,PASSDOWN!$U$2)))</f>
        <v/>
      </c>
      <c r="L54" s="63" t="str">
        <f>IFERROR(INDEX(PASSDOWN!$G$11:$G$15,MATCH(C54,PASSDOWN!$A$11:$A$15,0)),"")</f>
        <v/>
      </c>
      <c r="M54" s="64" t="str">
        <f t="shared" si="0"/>
        <v/>
      </c>
      <c r="N54" s="62" t="str">
        <f t="shared" si="1"/>
        <v/>
      </c>
    </row>
    <row r="55" spans="1:15" ht="15" customHeight="1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2" t="str">
        <f>IF(OR(A55="",B55="",C55="",G55=""),"",SUMIFS(EVENTS!$G$5:$G$204,EVENTS!$A$5:$A$204,A55,EVENTS!$B$5:$B$204,B55,EVENTS!$C$5:$C$204,C55,EVENTS!$H$5:$H$204,G55))</f>
        <v/>
      </c>
      <c r="K55" s="63" t="str">
        <f>IF(J55="","",MAX(0,1-J55/IF(PASSDOWN!$U$2="",720,PASSDOWN!$U$2)))</f>
        <v/>
      </c>
      <c r="L55" s="63" t="str">
        <f>IFERROR(INDEX(PASSDOWN!$G$11:$G$15,MATCH(C55,PASSDOWN!$A$11:$A$15,0)),"")</f>
        <v/>
      </c>
      <c r="M55" s="64" t="str">
        <f t="shared" si="0"/>
        <v/>
      </c>
      <c r="N55" s="62" t="str">
        <f t="shared" si="1"/>
        <v/>
      </c>
    </row>
    <row r="56" spans="1:15" ht="15" customHeight="1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2" t="str">
        <f>IF(OR(A56="",B56="",C56="",G56=""),"",SUMIFS(EVENTS!$G$5:$G$204,EVENTS!$A$5:$A$204,A56,EVENTS!$B$5:$B$204,B56,EVENTS!$C$5:$C$204,C56,EVENTS!$H$5:$H$204,G56))</f>
        <v/>
      </c>
      <c r="K56" s="63" t="str">
        <f>IF(J56="","",MAX(0,1-J56/IF(PASSDOWN!$U$2="",720,PASSDOWN!$U$2)))</f>
        <v/>
      </c>
      <c r="L56" s="63" t="str">
        <f>IFERROR(INDEX(PASSDOWN!$G$11:$G$15,MATCH(C56,PASSDOWN!$A$11:$A$15,0)),"")</f>
        <v/>
      </c>
      <c r="M56" s="64" t="str">
        <f t="shared" si="0"/>
        <v/>
      </c>
      <c r="N56" s="62" t="str">
        <f t="shared" si="1"/>
        <v/>
      </c>
    </row>
    <row r="57" spans="1:15" ht="15" customHeight="1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2" t="str">
        <f>IF(OR(A57="",B57="",C57="",G57=""),"",SUMIFS(EVENTS!$G$5:$G$204,EVENTS!$A$5:$A$204,A57,EVENTS!$B$5:$B$204,B57,EVENTS!$C$5:$C$204,C57,EVENTS!$H$5:$H$204,G57))</f>
        <v/>
      </c>
      <c r="K57" s="63" t="str">
        <f>IF(J57="","",MAX(0,1-J57/IF(PASSDOWN!$U$2="",720,PASSDOWN!$U$2)))</f>
        <v/>
      </c>
      <c r="L57" s="63" t="str">
        <f>IFERROR(INDEX(PASSDOWN!$G$11:$G$15,MATCH(C57,PASSDOWN!$A$11:$A$15,0)),"")</f>
        <v/>
      </c>
      <c r="M57" s="64" t="str">
        <f t="shared" si="0"/>
        <v/>
      </c>
      <c r="N57" s="62" t="str">
        <f t="shared" si="1"/>
        <v/>
      </c>
    </row>
    <row r="58" spans="1:15" ht="15" customHeight="1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2" t="str">
        <f>IF(OR(A58="",B58="",C58="",G58=""),"",SUMIFS(EVENTS!$G$5:$G$204,EVENTS!$A$5:$A$204,A58,EVENTS!$B$5:$B$204,B58,EVENTS!$C$5:$C$204,C58,EVENTS!$H$5:$H$204,G58))</f>
        <v/>
      </c>
      <c r="K58" s="63" t="str">
        <f>IF(J58="","",MAX(0,1-J58/IF(PASSDOWN!$U$2="",720,PASSDOWN!$U$2)))</f>
        <v/>
      </c>
      <c r="L58" s="63" t="str">
        <f>IFERROR(INDEX(PASSDOWN!$G$11:$G$15,MATCH(C58,PASSDOWN!$A$11:$A$15,0)),"")</f>
        <v/>
      </c>
      <c r="M58" s="64" t="str">
        <f t="shared" si="0"/>
        <v/>
      </c>
      <c r="N58" s="62" t="str">
        <f t="shared" si="1"/>
        <v/>
      </c>
    </row>
    <row r="59" spans="1:15" ht="15" customHeight="1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2" t="str">
        <f>IF(OR(A59="",B59="",C59="",G59=""),"",SUMIFS(EVENTS!$G$5:$G$204,EVENTS!$A$5:$A$204,A59,EVENTS!$B$5:$B$204,B59,EVENTS!$C$5:$C$204,C59,EVENTS!$H$5:$H$204,G59))</f>
        <v/>
      </c>
      <c r="K59" s="63" t="str">
        <f>IF(J59="","",MAX(0,1-J59/IF(PASSDOWN!$U$2="",720,PASSDOWN!$U$2)))</f>
        <v/>
      </c>
      <c r="L59" s="63" t="str">
        <f>IFERROR(INDEX(PASSDOWN!$G$11:$G$15,MATCH(C59,PASSDOWN!$A$11:$A$15,0)),"")</f>
        <v/>
      </c>
      <c r="M59" s="64" t="str">
        <f t="shared" si="0"/>
        <v/>
      </c>
      <c r="N59" s="62" t="str">
        <f t="shared" si="1"/>
        <v/>
      </c>
    </row>
    <row r="60" spans="1:15" ht="15" customHeight="1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2" t="str">
        <f>IF(OR(A60="",B60="",C60="",G60=""),"",SUMIFS(EVENTS!$G$5:$G$204,EVENTS!$A$5:$A$204,A60,EVENTS!$B$5:$B$204,B60,EVENTS!$C$5:$C$204,C60,EVENTS!$H$5:$H$204,G60))</f>
        <v/>
      </c>
      <c r="K60" s="63" t="str">
        <f>IF(J60="","",MAX(0,1-J60/IF(PASSDOWN!$U$2="",720,PASSDOWN!$U$2)))</f>
        <v/>
      </c>
      <c r="L60" s="63" t="str">
        <f>IFERROR(INDEX(PASSDOWN!$G$11:$G$15,MATCH(C60,PASSDOWN!$A$11:$A$15,0)),"")</f>
        <v/>
      </c>
      <c r="M60" s="64" t="str">
        <f t="shared" si="0"/>
        <v/>
      </c>
      <c r="N60" s="62" t="str">
        <f t="shared" si="1"/>
        <v/>
      </c>
    </row>
    <row r="61" spans="1:15" ht="15" customHeight="1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2" t="str">
        <f>IF(OR(A61="",B61="",C61="",G61=""),"",SUMIFS(EVENTS!$G$5:$G$204,EVENTS!$A$5:$A$204,A61,EVENTS!$B$5:$B$204,B61,EVENTS!$C$5:$C$204,C61,EVENTS!$H$5:$H$204,G61))</f>
        <v/>
      </c>
      <c r="K61" s="63" t="str">
        <f>IF(J61="","",MAX(0,1-J61/IF(PASSDOWN!$U$2="",720,PASSDOWN!$U$2)))</f>
        <v/>
      </c>
      <c r="L61" s="63" t="str">
        <f>IFERROR(INDEX(PASSDOWN!$G$11:$G$15,MATCH(C61,PASSDOWN!$A$11:$A$15,0)),"")</f>
        <v/>
      </c>
      <c r="M61" s="64" t="str">
        <f t="shared" si="0"/>
        <v/>
      </c>
      <c r="N61" s="62" t="str">
        <f t="shared" si="1"/>
        <v/>
      </c>
    </row>
    <row r="62" spans="1:15" ht="15" customHeight="1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2" t="str">
        <f>IF(OR(A62="",B62="",C62="",G62=""),"",SUMIFS(EVENTS!$G$5:$G$204,EVENTS!$A$5:$A$204,A62,EVENTS!$B$5:$B$204,B62,EVENTS!$C$5:$C$204,C62,EVENTS!$H$5:$H$204,G62))</f>
        <v/>
      </c>
      <c r="K62" s="63" t="str">
        <f>IF(J62="","",MAX(0,1-J62/IF(PASSDOWN!$U$2="",720,PASSDOWN!$U$2)))</f>
        <v/>
      </c>
      <c r="L62" s="63" t="str">
        <f>IFERROR(INDEX(PASSDOWN!$G$11:$G$15,MATCH(C62,PASSDOWN!$A$11:$A$15,0)),"")</f>
        <v/>
      </c>
      <c r="M62" s="64" t="str">
        <f t="shared" si="0"/>
        <v/>
      </c>
      <c r="N62" s="62" t="str">
        <f t="shared" si="1"/>
        <v/>
      </c>
    </row>
    <row r="63" spans="1:15" ht="15" customHeigh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2" t="str">
        <f>IF(OR(A63="",B63="",C63="",G63=""),"",SUMIFS(EVENTS!$G$5:$G$204,EVENTS!$A$5:$A$204,A63,EVENTS!$B$5:$B$204,B63,EVENTS!$C$5:$C$204,C63,EVENTS!$H$5:$H$204,G63))</f>
        <v/>
      </c>
      <c r="K63" s="63" t="str">
        <f>IF(J63="","",MAX(0,1-J63/IF(PASSDOWN!$U$2="",720,PASSDOWN!$U$2)))</f>
        <v/>
      </c>
      <c r="L63" s="63" t="str">
        <f>IFERROR(INDEX(PASSDOWN!$G$11:$G$15,MATCH(C63,PASSDOWN!$A$11:$A$15,0)),"")</f>
        <v/>
      </c>
      <c r="M63" s="64" t="str">
        <f t="shared" si="0"/>
        <v/>
      </c>
      <c r="N63" s="62" t="str">
        <f t="shared" si="1"/>
        <v/>
      </c>
    </row>
    <row r="64" spans="1:15" ht="15" customHeight="1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2" t="str">
        <f>IF(OR(A64="",B64="",C64="",G64=""),"",SUMIFS(EVENTS!$G$5:$G$204,EVENTS!$A$5:$A$204,A64,EVENTS!$B$5:$B$204,B64,EVENTS!$C$5:$C$204,C64,EVENTS!$H$5:$H$204,G64))</f>
        <v/>
      </c>
      <c r="K64" s="63" t="str">
        <f>IF(J64="","",MAX(0,1-J64/IF(PASSDOWN!$U$2="",720,PASSDOWN!$U$2)))</f>
        <v/>
      </c>
      <c r="L64" s="63" t="str">
        <f>IFERROR(INDEX(PASSDOWN!$G$11:$G$15,MATCH(C64,PASSDOWN!$A$11:$A$15,0)),"")</f>
        <v/>
      </c>
      <c r="M64" s="64" t="str">
        <f t="shared" si="0"/>
        <v/>
      </c>
      <c r="N64" s="62" t="str">
        <f t="shared" si="1"/>
        <v/>
      </c>
    </row>
    <row r="65" spans="1:14" ht="15" customHeight="1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2" t="str">
        <f>IF(OR(A65="",B65="",C65="",G65=""),"",SUMIFS(EVENTS!$G$5:$G$204,EVENTS!$A$5:$A$204,A65,EVENTS!$B$5:$B$204,B65,EVENTS!$C$5:$C$204,C65,EVENTS!$H$5:$H$204,G65))</f>
        <v/>
      </c>
      <c r="K65" s="63" t="str">
        <f>IF(J65="","",MAX(0,1-J65/IF(PASSDOWN!$U$2="",720,PASSDOWN!$U$2)))</f>
        <v/>
      </c>
      <c r="L65" s="63" t="str">
        <f>IFERROR(INDEX(PASSDOWN!$G$11:$G$15,MATCH(C65,PASSDOWN!$A$11:$A$15,0)),"")</f>
        <v/>
      </c>
      <c r="M65" s="64" t="str">
        <f t="shared" si="0"/>
        <v/>
      </c>
      <c r="N65" s="62" t="str">
        <f t="shared" si="1"/>
        <v/>
      </c>
    </row>
    <row r="66" spans="1:14" ht="15" customHeight="1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2" t="str">
        <f>IF(OR(A66="",B66="",C66="",G66=""),"",SUMIFS(EVENTS!$G$5:$G$204,EVENTS!$A$5:$A$204,A66,EVENTS!$B$5:$B$204,B66,EVENTS!$C$5:$C$204,C66,EVENTS!$H$5:$H$204,G66))</f>
        <v/>
      </c>
      <c r="K66" s="63" t="str">
        <f>IF(J66="","",MAX(0,1-J66/IF(PASSDOWN!$U$2="",720,PASSDOWN!$U$2)))</f>
        <v/>
      </c>
      <c r="L66" s="63" t="str">
        <f>IFERROR(INDEX(PASSDOWN!$G$11:$G$15,MATCH(C66,PASSDOWN!$A$11:$A$15,0)),"")</f>
        <v/>
      </c>
      <c r="M66" s="64" t="str">
        <f t="shared" si="0"/>
        <v/>
      </c>
      <c r="N66" s="62" t="str">
        <f t="shared" si="1"/>
        <v/>
      </c>
    </row>
    <row r="67" spans="1:14" ht="15" customHeight="1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2" t="str">
        <f>IF(OR(A67="",B67="",C67="",G67=""),"",SUMIFS(EVENTS!$G$5:$G$204,EVENTS!$A$5:$A$204,A67,EVENTS!$B$5:$B$204,B67,EVENTS!$C$5:$C$204,C67,EVENTS!$H$5:$H$204,G67))</f>
        <v/>
      </c>
      <c r="K67" s="63" t="str">
        <f>IF(J67="","",MAX(0,1-J67/IF(PASSDOWN!$U$2="",720,PASSDOWN!$U$2)))</f>
        <v/>
      </c>
      <c r="L67" s="63" t="str">
        <f>IFERROR(INDEX(PASSDOWN!$G$11:$G$15,MATCH(C67,PASSDOWN!$A$11:$A$15,0)),"")</f>
        <v/>
      </c>
      <c r="M67" s="64" t="str">
        <f t="shared" ref="M67:M130" si="2">IF(OR(K67="",L67=""),"",ROUND(100*K67*IF(L67&gt;1,L67/100,L67),0))</f>
        <v/>
      </c>
      <c r="N67" s="62" t="str">
        <f t="shared" ref="N67:N130" si="3">IF(M67="","",IF(M67&gt;=90,"A",IF(M67&gt;=80,"B",IF(M67&gt;=70,"C",IF(M67&gt;=60,"D","F")))))</f>
        <v/>
      </c>
    </row>
    <row r="68" spans="1:14" ht="15" customHeight="1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2" t="str">
        <f>IF(OR(A68="",B68="",C68="",G68=""),"",SUMIFS(EVENTS!$G$5:$G$204,EVENTS!$A$5:$A$204,A68,EVENTS!$B$5:$B$204,B68,EVENTS!$C$5:$C$204,C68,EVENTS!$H$5:$H$204,G68))</f>
        <v/>
      </c>
      <c r="K68" s="63" t="str">
        <f>IF(J68="","",MAX(0,1-J68/IF(PASSDOWN!$U$2="",720,PASSDOWN!$U$2)))</f>
        <v/>
      </c>
      <c r="L68" s="63" t="str">
        <f>IFERROR(INDEX(PASSDOWN!$G$11:$G$15,MATCH(C68,PASSDOWN!$A$11:$A$15,0)),"")</f>
        <v/>
      </c>
      <c r="M68" s="64" t="str">
        <f t="shared" si="2"/>
        <v/>
      </c>
      <c r="N68" s="62" t="str">
        <f t="shared" si="3"/>
        <v/>
      </c>
    </row>
    <row r="69" spans="1:14" ht="15" customHeight="1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2" t="str">
        <f>IF(OR(A69="",B69="",C69="",G69=""),"",SUMIFS(EVENTS!$G$5:$G$204,EVENTS!$A$5:$A$204,A69,EVENTS!$B$5:$B$204,B69,EVENTS!$C$5:$C$204,C69,EVENTS!$H$5:$H$204,G69))</f>
        <v/>
      </c>
      <c r="K69" s="63" t="str">
        <f>IF(J69="","",MAX(0,1-J69/IF(PASSDOWN!$U$2="",720,PASSDOWN!$U$2)))</f>
        <v/>
      </c>
      <c r="L69" s="63" t="str">
        <f>IFERROR(INDEX(PASSDOWN!$G$11:$G$15,MATCH(C69,PASSDOWN!$A$11:$A$15,0)),"")</f>
        <v/>
      </c>
      <c r="M69" s="64" t="str">
        <f t="shared" si="2"/>
        <v/>
      </c>
      <c r="N69" s="62" t="str">
        <f t="shared" si="3"/>
        <v/>
      </c>
    </row>
    <row r="70" spans="1:14" ht="15" customHeight="1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2" t="str">
        <f>IF(OR(A70="",B70="",C70="",G70=""),"",SUMIFS(EVENTS!$G$5:$G$204,EVENTS!$A$5:$A$204,A70,EVENTS!$B$5:$B$204,B70,EVENTS!$C$5:$C$204,C70,EVENTS!$H$5:$H$204,G70))</f>
        <v/>
      </c>
      <c r="K70" s="63" t="str">
        <f>IF(J70="","",MAX(0,1-J70/IF(PASSDOWN!$U$2="",720,PASSDOWN!$U$2)))</f>
        <v/>
      </c>
      <c r="L70" s="63" t="str">
        <f>IFERROR(INDEX(PASSDOWN!$G$11:$G$15,MATCH(C70,PASSDOWN!$A$11:$A$15,0)),"")</f>
        <v/>
      </c>
      <c r="M70" s="64" t="str">
        <f t="shared" si="2"/>
        <v/>
      </c>
      <c r="N70" s="62" t="str">
        <f t="shared" si="3"/>
        <v/>
      </c>
    </row>
    <row r="71" spans="1:14" ht="15" customHeight="1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2" t="str">
        <f>IF(OR(A71="",B71="",C71="",G71=""),"",SUMIFS(EVENTS!$G$5:$G$204,EVENTS!$A$5:$A$204,A71,EVENTS!$B$5:$B$204,B71,EVENTS!$C$5:$C$204,C71,EVENTS!$H$5:$H$204,G71))</f>
        <v/>
      </c>
      <c r="K71" s="63" t="str">
        <f>IF(J71="","",MAX(0,1-J71/IF(PASSDOWN!$U$2="",720,PASSDOWN!$U$2)))</f>
        <v/>
      </c>
      <c r="L71" s="63" t="str">
        <f>IFERROR(INDEX(PASSDOWN!$G$11:$G$15,MATCH(C71,PASSDOWN!$A$11:$A$15,0)),"")</f>
        <v/>
      </c>
      <c r="M71" s="64" t="str">
        <f t="shared" si="2"/>
        <v/>
      </c>
      <c r="N71" s="62" t="str">
        <f t="shared" si="3"/>
        <v/>
      </c>
    </row>
    <row r="72" spans="1:14" ht="15" customHeight="1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2" t="str">
        <f>IF(OR(A72="",B72="",C72="",G72=""),"",SUMIFS(EVENTS!$G$5:$G$204,EVENTS!$A$5:$A$204,A72,EVENTS!$B$5:$B$204,B72,EVENTS!$C$5:$C$204,C72,EVENTS!$H$5:$H$204,G72))</f>
        <v/>
      </c>
      <c r="K72" s="63" t="str">
        <f>IF(J72="","",MAX(0,1-J72/IF(PASSDOWN!$U$2="",720,PASSDOWN!$U$2)))</f>
        <v/>
      </c>
      <c r="L72" s="63" t="str">
        <f>IFERROR(INDEX(PASSDOWN!$G$11:$G$15,MATCH(C72,PASSDOWN!$A$11:$A$15,0)),"")</f>
        <v/>
      </c>
      <c r="M72" s="64" t="str">
        <f t="shared" si="2"/>
        <v/>
      </c>
      <c r="N72" s="62" t="str">
        <f t="shared" si="3"/>
        <v/>
      </c>
    </row>
    <row r="73" spans="1:14" ht="15" customHeight="1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2" t="str">
        <f>IF(OR(A73="",B73="",C73="",G73=""),"",SUMIFS(EVENTS!$G$5:$G$204,EVENTS!$A$5:$A$204,A73,EVENTS!$B$5:$B$204,B73,EVENTS!$C$5:$C$204,C73,EVENTS!$H$5:$H$204,G73))</f>
        <v/>
      </c>
      <c r="K73" s="63" t="str">
        <f>IF(J73="","",MAX(0,1-J73/IF(PASSDOWN!$U$2="",720,PASSDOWN!$U$2)))</f>
        <v/>
      </c>
      <c r="L73" s="63" t="str">
        <f>IFERROR(INDEX(PASSDOWN!$G$11:$G$15,MATCH(C73,PASSDOWN!$A$11:$A$15,0)),"")</f>
        <v/>
      </c>
      <c r="M73" s="64" t="str">
        <f t="shared" si="2"/>
        <v/>
      </c>
      <c r="N73" s="62" t="str">
        <f t="shared" si="3"/>
        <v/>
      </c>
    </row>
    <row r="74" spans="1:14" ht="15" customHeight="1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2" t="str">
        <f>IF(OR(A74="",B74="",C74="",G74=""),"",SUMIFS(EVENTS!$G$5:$G$204,EVENTS!$A$5:$A$204,A74,EVENTS!$B$5:$B$204,B74,EVENTS!$C$5:$C$204,C74,EVENTS!$H$5:$H$204,G74))</f>
        <v/>
      </c>
      <c r="K74" s="63" t="str">
        <f>IF(J74="","",MAX(0,1-J74/IF(PASSDOWN!$U$2="",720,PASSDOWN!$U$2)))</f>
        <v/>
      </c>
      <c r="L74" s="63" t="str">
        <f>IFERROR(INDEX(PASSDOWN!$G$11:$G$15,MATCH(C74,PASSDOWN!$A$11:$A$15,0)),"")</f>
        <v/>
      </c>
      <c r="M74" s="64" t="str">
        <f t="shared" si="2"/>
        <v/>
      </c>
      <c r="N74" s="62" t="str">
        <f t="shared" si="3"/>
        <v/>
      </c>
    </row>
    <row r="75" spans="1:14" ht="15" customHeight="1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2" t="str">
        <f>IF(OR(A75="",B75="",C75="",G75=""),"",SUMIFS(EVENTS!$G$5:$G$204,EVENTS!$A$5:$A$204,A75,EVENTS!$B$5:$B$204,B75,EVENTS!$C$5:$C$204,C75,EVENTS!$H$5:$H$204,G75))</f>
        <v/>
      </c>
      <c r="K75" s="63" t="str">
        <f>IF(J75="","",MAX(0,1-J75/IF(PASSDOWN!$U$2="",720,PASSDOWN!$U$2)))</f>
        <v/>
      </c>
      <c r="L75" s="63" t="str">
        <f>IFERROR(INDEX(PASSDOWN!$G$11:$G$15,MATCH(C75,PASSDOWN!$A$11:$A$15,0)),"")</f>
        <v/>
      </c>
      <c r="M75" s="64" t="str">
        <f t="shared" si="2"/>
        <v/>
      </c>
      <c r="N75" s="62" t="str">
        <f t="shared" si="3"/>
        <v/>
      </c>
    </row>
    <row r="76" spans="1:14" ht="15" customHeight="1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2" t="str">
        <f>IF(OR(A76="",B76="",C76="",G76=""),"",SUMIFS(EVENTS!$G$5:$G$204,EVENTS!$A$5:$A$204,A76,EVENTS!$B$5:$B$204,B76,EVENTS!$C$5:$C$204,C76,EVENTS!$H$5:$H$204,G76))</f>
        <v/>
      </c>
      <c r="K76" s="63" t="str">
        <f>IF(J76="","",MAX(0,1-J76/IF(PASSDOWN!$U$2="",720,PASSDOWN!$U$2)))</f>
        <v/>
      </c>
      <c r="L76" s="63" t="str">
        <f>IFERROR(INDEX(PASSDOWN!$G$11:$G$15,MATCH(C76,PASSDOWN!$A$11:$A$15,0)),"")</f>
        <v/>
      </c>
      <c r="M76" s="64" t="str">
        <f t="shared" si="2"/>
        <v/>
      </c>
      <c r="N76" s="62" t="str">
        <f t="shared" si="3"/>
        <v/>
      </c>
    </row>
    <row r="77" spans="1:14" ht="15" customHeight="1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2" t="str">
        <f>IF(OR(A77="",B77="",C77="",G77=""),"",SUMIFS(EVENTS!$G$5:$G$204,EVENTS!$A$5:$A$204,A77,EVENTS!$B$5:$B$204,B77,EVENTS!$C$5:$C$204,C77,EVENTS!$H$5:$H$204,G77))</f>
        <v/>
      </c>
      <c r="K77" s="63" t="str">
        <f>IF(J77="","",MAX(0,1-J77/IF(PASSDOWN!$U$2="",720,PASSDOWN!$U$2)))</f>
        <v/>
      </c>
      <c r="L77" s="63" t="str">
        <f>IFERROR(INDEX(PASSDOWN!$G$11:$G$15,MATCH(C77,PASSDOWN!$A$11:$A$15,0)),"")</f>
        <v/>
      </c>
      <c r="M77" s="64" t="str">
        <f t="shared" si="2"/>
        <v/>
      </c>
      <c r="N77" s="62" t="str">
        <f t="shared" si="3"/>
        <v/>
      </c>
    </row>
    <row r="78" spans="1:14" ht="15" customHeight="1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2" t="str">
        <f>IF(OR(A78="",B78="",C78="",G78=""),"",SUMIFS(EVENTS!$G$5:$G$204,EVENTS!$A$5:$A$204,A78,EVENTS!$B$5:$B$204,B78,EVENTS!$C$5:$C$204,C78,EVENTS!$H$5:$H$204,G78))</f>
        <v/>
      </c>
      <c r="K78" s="63" t="str">
        <f>IF(J78="","",MAX(0,1-J78/IF(PASSDOWN!$U$2="",720,PASSDOWN!$U$2)))</f>
        <v/>
      </c>
      <c r="L78" s="63" t="str">
        <f>IFERROR(INDEX(PASSDOWN!$G$11:$G$15,MATCH(C78,PASSDOWN!$A$11:$A$15,0)),"")</f>
        <v/>
      </c>
      <c r="M78" s="64" t="str">
        <f t="shared" si="2"/>
        <v/>
      </c>
      <c r="N78" s="62" t="str">
        <f t="shared" si="3"/>
        <v/>
      </c>
    </row>
    <row r="79" spans="1:14" ht="15" customHeight="1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2" t="str">
        <f>IF(OR(A79="",B79="",C79="",G79=""),"",SUMIFS(EVENTS!$G$5:$G$204,EVENTS!$A$5:$A$204,A79,EVENTS!$B$5:$B$204,B79,EVENTS!$C$5:$C$204,C79,EVENTS!$H$5:$H$204,G79))</f>
        <v/>
      </c>
      <c r="K79" s="63" t="str">
        <f>IF(J79="","",MAX(0,1-J79/IF(PASSDOWN!$U$2="",720,PASSDOWN!$U$2)))</f>
        <v/>
      </c>
      <c r="L79" s="63" t="str">
        <f>IFERROR(INDEX(PASSDOWN!$G$11:$G$15,MATCH(C79,PASSDOWN!$A$11:$A$15,0)),"")</f>
        <v/>
      </c>
      <c r="M79" s="64" t="str">
        <f t="shared" si="2"/>
        <v/>
      </c>
      <c r="N79" s="62" t="str">
        <f t="shared" si="3"/>
        <v/>
      </c>
    </row>
    <row r="80" spans="1:14" ht="15" customHeight="1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2" t="str">
        <f>IF(OR(A80="",B80="",C80="",G80=""),"",SUMIFS(EVENTS!$G$5:$G$204,EVENTS!$A$5:$A$204,A80,EVENTS!$B$5:$B$204,B80,EVENTS!$C$5:$C$204,C80,EVENTS!$H$5:$H$204,G80))</f>
        <v/>
      </c>
      <c r="K80" s="63" t="str">
        <f>IF(J80="","",MAX(0,1-J80/IF(PASSDOWN!$U$2="",720,PASSDOWN!$U$2)))</f>
        <v/>
      </c>
      <c r="L80" s="63" t="str">
        <f>IFERROR(INDEX(PASSDOWN!$G$11:$G$15,MATCH(C80,PASSDOWN!$A$11:$A$15,0)),"")</f>
        <v/>
      </c>
      <c r="M80" s="64" t="str">
        <f t="shared" si="2"/>
        <v/>
      </c>
      <c r="N80" s="62" t="str">
        <f t="shared" si="3"/>
        <v/>
      </c>
    </row>
    <row r="81" spans="1:14" ht="15" customHeight="1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2" t="str">
        <f>IF(OR(A81="",B81="",C81="",G81=""),"",SUMIFS(EVENTS!$G$5:$G$204,EVENTS!$A$5:$A$204,A81,EVENTS!$B$5:$B$204,B81,EVENTS!$C$5:$C$204,C81,EVENTS!$H$5:$H$204,G81))</f>
        <v/>
      </c>
      <c r="K81" s="63" t="str">
        <f>IF(J81="","",MAX(0,1-J81/IF(PASSDOWN!$U$2="",720,PASSDOWN!$U$2)))</f>
        <v/>
      </c>
      <c r="L81" s="63" t="str">
        <f>IFERROR(INDEX(PASSDOWN!$G$11:$G$15,MATCH(C81,PASSDOWN!$A$11:$A$15,0)),"")</f>
        <v/>
      </c>
      <c r="M81" s="64" t="str">
        <f t="shared" si="2"/>
        <v/>
      </c>
      <c r="N81" s="62" t="str">
        <f t="shared" si="3"/>
        <v/>
      </c>
    </row>
    <row r="82" spans="1:14" ht="15" customHeight="1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2" t="str">
        <f>IF(OR(A82="",B82="",C82="",G82=""),"",SUMIFS(EVENTS!$G$5:$G$204,EVENTS!$A$5:$A$204,A82,EVENTS!$B$5:$B$204,B82,EVENTS!$C$5:$C$204,C82,EVENTS!$H$5:$H$204,G82))</f>
        <v/>
      </c>
      <c r="K82" s="63" t="str">
        <f>IF(J82="","",MAX(0,1-J82/IF(PASSDOWN!$U$2="",720,PASSDOWN!$U$2)))</f>
        <v/>
      </c>
      <c r="L82" s="63" t="str">
        <f>IFERROR(INDEX(PASSDOWN!$G$11:$G$15,MATCH(C82,PASSDOWN!$A$11:$A$15,0)),"")</f>
        <v/>
      </c>
      <c r="M82" s="64" t="str">
        <f t="shared" si="2"/>
        <v/>
      </c>
      <c r="N82" s="62" t="str">
        <f t="shared" si="3"/>
        <v/>
      </c>
    </row>
    <row r="83" spans="1:14" ht="15" customHeight="1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2" t="str">
        <f>IF(OR(A83="",B83="",C83="",G83=""),"",SUMIFS(EVENTS!$G$5:$G$204,EVENTS!$A$5:$A$204,A83,EVENTS!$B$5:$B$204,B83,EVENTS!$C$5:$C$204,C83,EVENTS!$H$5:$H$204,G83))</f>
        <v/>
      </c>
      <c r="K83" s="63" t="str">
        <f>IF(J83="","",MAX(0,1-J83/IF(PASSDOWN!$U$2="",720,PASSDOWN!$U$2)))</f>
        <v/>
      </c>
      <c r="L83" s="63" t="str">
        <f>IFERROR(INDEX(PASSDOWN!$G$11:$G$15,MATCH(C83,PASSDOWN!$A$11:$A$15,0)),"")</f>
        <v/>
      </c>
      <c r="M83" s="64" t="str">
        <f t="shared" si="2"/>
        <v/>
      </c>
      <c r="N83" s="62" t="str">
        <f t="shared" si="3"/>
        <v/>
      </c>
    </row>
    <row r="84" spans="1:14" ht="15" customHeight="1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2" t="str">
        <f>IF(OR(A84="",B84="",C84="",G84=""),"",SUMIFS(EVENTS!$G$5:$G$204,EVENTS!$A$5:$A$204,A84,EVENTS!$B$5:$B$204,B84,EVENTS!$C$5:$C$204,C84,EVENTS!$H$5:$H$204,G84))</f>
        <v/>
      </c>
      <c r="K84" s="63" t="str">
        <f>IF(J84="","",MAX(0,1-J84/IF(PASSDOWN!$U$2="",720,PASSDOWN!$U$2)))</f>
        <v/>
      </c>
      <c r="L84" s="63" t="str">
        <f>IFERROR(INDEX(PASSDOWN!$G$11:$G$15,MATCH(C84,PASSDOWN!$A$11:$A$15,0)),"")</f>
        <v/>
      </c>
      <c r="M84" s="64" t="str">
        <f t="shared" si="2"/>
        <v/>
      </c>
      <c r="N84" s="62" t="str">
        <f t="shared" si="3"/>
        <v/>
      </c>
    </row>
    <row r="85" spans="1:14" ht="15" customHeight="1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2" t="str">
        <f>IF(OR(A85="",B85="",C85="",G85=""),"",SUMIFS(EVENTS!$G$5:$G$204,EVENTS!$A$5:$A$204,A85,EVENTS!$B$5:$B$204,B85,EVENTS!$C$5:$C$204,C85,EVENTS!$H$5:$H$204,G85))</f>
        <v/>
      </c>
      <c r="K85" s="63" t="str">
        <f>IF(J85="","",MAX(0,1-J85/IF(PASSDOWN!$U$2="",720,PASSDOWN!$U$2)))</f>
        <v/>
      </c>
      <c r="L85" s="63" t="str">
        <f>IFERROR(INDEX(PASSDOWN!$G$11:$G$15,MATCH(C85,PASSDOWN!$A$11:$A$15,0)),"")</f>
        <v/>
      </c>
      <c r="M85" s="64" t="str">
        <f t="shared" si="2"/>
        <v/>
      </c>
      <c r="N85" s="62" t="str">
        <f t="shared" si="3"/>
        <v/>
      </c>
    </row>
    <row r="86" spans="1:14" ht="15" customHeight="1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2" t="str">
        <f>IF(OR(A86="",B86="",C86="",G86=""),"",SUMIFS(EVENTS!$G$5:$G$204,EVENTS!$A$5:$A$204,A86,EVENTS!$B$5:$B$204,B86,EVENTS!$C$5:$C$204,C86,EVENTS!$H$5:$H$204,G86))</f>
        <v/>
      </c>
      <c r="K86" s="63" t="str">
        <f>IF(J86="","",MAX(0,1-J86/IF(PASSDOWN!$U$2="",720,PASSDOWN!$U$2)))</f>
        <v/>
      </c>
      <c r="L86" s="63" t="str">
        <f>IFERROR(INDEX(PASSDOWN!$G$11:$G$15,MATCH(C86,PASSDOWN!$A$11:$A$15,0)),"")</f>
        <v/>
      </c>
      <c r="M86" s="64" t="str">
        <f t="shared" si="2"/>
        <v/>
      </c>
      <c r="N86" s="62" t="str">
        <f t="shared" si="3"/>
        <v/>
      </c>
    </row>
    <row r="87" spans="1:14" ht="15" customHeight="1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2" t="str">
        <f>IF(OR(A87="",B87="",C87="",G87=""),"",SUMIFS(EVENTS!$G$5:$G$204,EVENTS!$A$5:$A$204,A87,EVENTS!$B$5:$B$204,B87,EVENTS!$C$5:$C$204,C87,EVENTS!$H$5:$H$204,G87))</f>
        <v/>
      </c>
      <c r="K87" s="63" t="str">
        <f>IF(J87="","",MAX(0,1-J87/IF(PASSDOWN!$U$2="",720,PASSDOWN!$U$2)))</f>
        <v/>
      </c>
      <c r="L87" s="63" t="str">
        <f>IFERROR(INDEX(PASSDOWN!$G$11:$G$15,MATCH(C87,PASSDOWN!$A$11:$A$15,0)),"")</f>
        <v/>
      </c>
      <c r="M87" s="64" t="str">
        <f t="shared" si="2"/>
        <v/>
      </c>
      <c r="N87" s="62" t="str">
        <f t="shared" si="3"/>
        <v/>
      </c>
    </row>
    <row r="88" spans="1:14" ht="15" customHeight="1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2" t="str">
        <f>IF(OR(A88="",B88="",C88="",G88=""),"",SUMIFS(EVENTS!$G$5:$G$204,EVENTS!$A$5:$A$204,A88,EVENTS!$B$5:$B$204,B88,EVENTS!$C$5:$C$204,C88,EVENTS!$H$5:$H$204,G88))</f>
        <v/>
      </c>
      <c r="K88" s="63" t="str">
        <f>IF(J88="","",MAX(0,1-J88/IF(PASSDOWN!$U$2="",720,PASSDOWN!$U$2)))</f>
        <v/>
      </c>
      <c r="L88" s="63" t="str">
        <f>IFERROR(INDEX(PASSDOWN!$G$11:$G$15,MATCH(C88,PASSDOWN!$A$11:$A$15,0)),"")</f>
        <v/>
      </c>
      <c r="M88" s="64" t="str">
        <f t="shared" si="2"/>
        <v/>
      </c>
      <c r="N88" s="62" t="str">
        <f t="shared" si="3"/>
        <v/>
      </c>
    </row>
    <row r="89" spans="1:14" ht="15" customHeight="1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2" t="str">
        <f>IF(OR(A89="",B89="",C89="",G89=""),"",SUMIFS(EVENTS!$G$5:$G$204,EVENTS!$A$5:$A$204,A89,EVENTS!$B$5:$B$204,B89,EVENTS!$C$5:$C$204,C89,EVENTS!$H$5:$H$204,G89))</f>
        <v/>
      </c>
      <c r="K89" s="63" t="str">
        <f>IF(J89="","",MAX(0,1-J89/IF(PASSDOWN!$U$2="",720,PASSDOWN!$U$2)))</f>
        <v/>
      </c>
      <c r="L89" s="63" t="str">
        <f>IFERROR(INDEX(PASSDOWN!$G$11:$G$15,MATCH(C89,PASSDOWN!$A$11:$A$15,0)),"")</f>
        <v/>
      </c>
      <c r="M89" s="64" t="str">
        <f t="shared" si="2"/>
        <v/>
      </c>
      <c r="N89" s="62" t="str">
        <f t="shared" si="3"/>
        <v/>
      </c>
    </row>
    <row r="90" spans="1:14" ht="15" customHeight="1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2" t="str">
        <f>IF(OR(A90="",B90="",C90="",G90=""),"",SUMIFS(EVENTS!$G$5:$G$204,EVENTS!$A$5:$A$204,A90,EVENTS!$B$5:$B$204,B90,EVENTS!$C$5:$C$204,C90,EVENTS!$H$5:$H$204,G90))</f>
        <v/>
      </c>
      <c r="K90" s="63" t="str">
        <f>IF(J90="","",MAX(0,1-J90/IF(PASSDOWN!$U$2="",720,PASSDOWN!$U$2)))</f>
        <v/>
      </c>
      <c r="L90" s="63" t="str">
        <f>IFERROR(INDEX(PASSDOWN!$G$11:$G$15,MATCH(C90,PASSDOWN!$A$11:$A$15,0)),"")</f>
        <v/>
      </c>
      <c r="M90" s="64" t="str">
        <f t="shared" si="2"/>
        <v/>
      </c>
      <c r="N90" s="62" t="str">
        <f t="shared" si="3"/>
        <v/>
      </c>
    </row>
    <row r="91" spans="1:14" ht="15" customHeight="1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2" t="str">
        <f>IF(OR(A91="",B91="",C91="",G91=""),"",SUMIFS(EVENTS!$G$5:$G$204,EVENTS!$A$5:$A$204,A91,EVENTS!$B$5:$B$204,B91,EVENTS!$C$5:$C$204,C91,EVENTS!$H$5:$H$204,G91))</f>
        <v/>
      </c>
      <c r="K91" s="63" t="str">
        <f>IF(J91="","",MAX(0,1-J91/IF(PASSDOWN!$U$2="",720,PASSDOWN!$U$2)))</f>
        <v/>
      </c>
      <c r="L91" s="63" t="str">
        <f>IFERROR(INDEX(PASSDOWN!$G$11:$G$15,MATCH(C91,PASSDOWN!$A$11:$A$15,0)),"")</f>
        <v/>
      </c>
      <c r="M91" s="64" t="str">
        <f t="shared" si="2"/>
        <v/>
      </c>
      <c r="N91" s="62" t="str">
        <f t="shared" si="3"/>
        <v/>
      </c>
    </row>
    <row r="92" spans="1:14" ht="15" customHeight="1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2" t="str">
        <f>IF(OR(A92="",B92="",C92="",G92=""),"",SUMIFS(EVENTS!$G$5:$G$204,EVENTS!$A$5:$A$204,A92,EVENTS!$B$5:$B$204,B92,EVENTS!$C$5:$C$204,C92,EVENTS!$H$5:$H$204,G92))</f>
        <v/>
      </c>
      <c r="K92" s="63" t="str">
        <f>IF(J92="","",MAX(0,1-J92/IF(PASSDOWN!$U$2="",720,PASSDOWN!$U$2)))</f>
        <v/>
      </c>
      <c r="L92" s="63" t="str">
        <f>IFERROR(INDEX(PASSDOWN!$G$11:$G$15,MATCH(C92,PASSDOWN!$A$11:$A$15,0)),"")</f>
        <v/>
      </c>
      <c r="M92" s="64" t="str">
        <f t="shared" si="2"/>
        <v/>
      </c>
      <c r="N92" s="62" t="str">
        <f t="shared" si="3"/>
        <v/>
      </c>
    </row>
    <row r="93" spans="1:14" ht="15" customHeight="1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2" t="str">
        <f>IF(OR(A93="",B93="",C93="",G93=""),"",SUMIFS(EVENTS!$G$5:$G$204,EVENTS!$A$5:$A$204,A93,EVENTS!$B$5:$B$204,B93,EVENTS!$C$5:$C$204,C93,EVENTS!$H$5:$H$204,G93))</f>
        <v/>
      </c>
      <c r="K93" s="63" t="str">
        <f>IF(J93="","",MAX(0,1-J93/IF(PASSDOWN!$U$2="",720,PASSDOWN!$U$2)))</f>
        <v/>
      </c>
      <c r="L93" s="63" t="str">
        <f>IFERROR(INDEX(PASSDOWN!$G$11:$G$15,MATCH(C93,PASSDOWN!$A$11:$A$15,0)),"")</f>
        <v/>
      </c>
      <c r="M93" s="64" t="str">
        <f t="shared" si="2"/>
        <v/>
      </c>
      <c r="N93" s="62" t="str">
        <f t="shared" si="3"/>
        <v/>
      </c>
    </row>
    <row r="94" spans="1:14" ht="15" customHeight="1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2" t="str">
        <f>IF(OR(A94="",B94="",C94="",G94=""),"",SUMIFS(EVENTS!$G$5:$G$204,EVENTS!$A$5:$A$204,A94,EVENTS!$B$5:$B$204,B94,EVENTS!$C$5:$C$204,C94,EVENTS!$H$5:$H$204,G94))</f>
        <v/>
      </c>
      <c r="K94" s="63" t="str">
        <f>IF(J94="","",MAX(0,1-J94/IF(PASSDOWN!$U$2="",720,PASSDOWN!$U$2)))</f>
        <v/>
      </c>
      <c r="L94" s="63" t="str">
        <f>IFERROR(INDEX(PASSDOWN!$G$11:$G$15,MATCH(C94,PASSDOWN!$A$11:$A$15,0)),"")</f>
        <v/>
      </c>
      <c r="M94" s="64" t="str">
        <f t="shared" si="2"/>
        <v/>
      </c>
      <c r="N94" s="62" t="str">
        <f t="shared" si="3"/>
        <v/>
      </c>
    </row>
    <row r="95" spans="1:14" ht="15" customHeight="1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2" t="str">
        <f>IF(OR(A95="",B95="",C95="",G95=""),"",SUMIFS(EVENTS!$G$5:$G$204,EVENTS!$A$5:$A$204,A95,EVENTS!$B$5:$B$204,B95,EVENTS!$C$5:$C$204,C95,EVENTS!$H$5:$H$204,G95))</f>
        <v/>
      </c>
      <c r="K95" s="63" t="str">
        <f>IF(J95="","",MAX(0,1-J95/IF(PASSDOWN!$U$2="",720,PASSDOWN!$U$2)))</f>
        <v/>
      </c>
      <c r="L95" s="63" t="str">
        <f>IFERROR(INDEX(PASSDOWN!$G$11:$G$15,MATCH(C95,PASSDOWN!$A$11:$A$15,0)),"")</f>
        <v/>
      </c>
      <c r="M95" s="64" t="str">
        <f t="shared" si="2"/>
        <v/>
      </c>
      <c r="N95" s="62" t="str">
        <f t="shared" si="3"/>
        <v/>
      </c>
    </row>
    <row r="96" spans="1:14" ht="15" customHeight="1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2" t="str">
        <f>IF(OR(A96="",B96="",C96="",G96=""),"",SUMIFS(EVENTS!$G$5:$G$204,EVENTS!$A$5:$A$204,A96,EVENTS!$B$5:$B$204,B96,EVENTS!$C$5:$C$204,C96,EVENTS!$H$5:$H$204,G96))</f>
        <v/>
      </c>
      <c r="K96" s="63" t="str">
        <f>IF(J96="","",MAX(0,1-J96/IF(PASSDOWN!$U$2="",720,PASSDOWN!$U$2)))</f>
        <v/>
      </c>
      <c r="L96" s="63" t="str">
        <f>IFERROR(INDEX(PASSDOWN!$G$11:$G$15,MATCH(C96,PASSDOWN!$A$11:$A$15,0)),"")</f>
        <v/>
      </c>
      <c r="M96" s="64" t="str">
        <f t="shared" si="2"/>
        <v/>
      </c>
      <c r="N96" s="62" t="str">
        <f t="shared" si="3"/>
        <v/>
      </c>
    </row>
    <row r="97" spans="1:14" ht="15" customHeight="1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2" t="str">
        <f>IF(OR(A97="",B97="",C97="",G97=""),"",SUMIFS(EVENTS!$G$5:$G$204,EVENTS!$A$5:$A$204,A97,EVENTS!$B$5:$B$204,B97,EVENTS!$C$5:$C$204,C97,EVENTS!$H$5:$H$204,G97))</f>
        <v/>
      </c>
      <c r="K97" s="63" t="str">
        <f>IF(J97="","",MAX(0,1-J97/IF(PASSDOWN!$U$2="",720,PASSDOWN!$U$2)))</f>
        <v/>
      </c>
      <c r="L97" s="63" t="str">
        <f>IFERROR(INDEX(PASSDOWN!$G$11:$G$15,MATCH(C97,PASSDOWN!$A$11:$A$15,0)),"")</f>
        <v/>
      </c>
      <c r="M97" s="64" t="str">
        <f t="shared" si="2"/>
        <v/>
      </c>
      <c r="N97" s="62" t="str">
        <f t="shared" si="3"/>
        <v/>
      </c>
    </row>
    <row r="98" spans="1:14" ht="15" customHeight="1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2" t="str">
        <f>IF(OR(A98="",B98="",C98="",G98=""),"",SUMIFS(EVENTS!$G$5:$G$204,EVENTS!$A$5:$A$204,A98,EVENTS!$B$5:$B$204,B98,EVENTS!$C$5:$C$204,C98,EVENTS!$H$5:$H$204,G98))</f>
        <v/>
      </c>
      <c r="K98" s="63" t="str">
        <f>IF(J98="","",MAX(0,1-J98/IF(PASSDOWN!$U$2="",720,PASSDOWN!$U$2)))</f>
        <v/>
      </c>
      <c r="L98" s="63" t="str">
        <f>IFERROR(INDEX(PASSDOWN!$G$11:$G$15,MATCH(C98,PASSDOWN!$A$11:$A$15,0)),"")</f>
        <v/>
      </c>
      <c r="M98" s="64" t="str">
        <f t="shared" si="2"/>
        <v/>
      </c>
      <c r="N98" s="62" t="str">
        <f t="shared" si="3"/>
        <v/>
      </c>
    </row>
    <row r="99" spans="1:14" ht="15" customHeight="1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2" t="str">
        <f>IF(OR(A99="",B99="",C99="",G99=""),"",SUMIFS(EVENTS!$G$5:$G$204,EVENTS!$A$5:$A$204,A99,EVENTS!$B$5:$B$204,B99,EVENTS!$C$5:$C$204,C99,EVENTS!$H$5:$H$204,G99))</f>
        <v/>
      </c>
      <c r="K99" s="63" t="str">
        <f>IF(J99="","",MAX(0,1-J99/IF(PASSDOWN!$U$2="",720,PASSDOWN!$U$2)))</f>
        <v/>
      </c>
      <c r="L99" s="63" t="str">
        <f>IFERROR(INDEX(PASSDOWN!$G$11:$G$15,MATCH(C99,PASSDOWN!$A$11:$A$15,0)),"")</f>
        <v/>
      </c>
      <c r="M99" s="64" t="str">
        <f t="shared" si="2"/>
        <v/>
      </c>
      <c r="N99" s="62" t="str">
        <f t="shared" si="3"/>
        <v/>
      </c>
    </row>
    <row r="100" spans="1:14" ht="15" customHeight="1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2" t="str">
        <f>IF(OR(A100="",B100="",C100="",G100=""),"",SUMIFS(EVENTS!$G$5:$G$204,EVENTS!$A$5:$A$204,A100,EVENTS!$B$5:$B$204,B100,EVENTS!$C$5:$C$204,C100,EVENTS!$H$5:$H$204,G100))</f>
        <v/>
      </c>
      <c r="K100" s="63" t="str">
        <f>IF(J100="","",MAX(0,1-J100/IF(PASSDOWN!$U$2="",720,PASSDOWN!$U$2)))</f>
        <v/>
      </c>
      <c r="L100" s="63" t="str">
        <f>IFERROR(INDEX(PASSDOWN!$G$11:$G$15,MATCH(C100,PASSDOWN!$A$11:$A$15,0)),"")</f>
        <v/>
      </c>
      <c r="M100" s="64" t="str">
        <f t="shared" si="2"/>
        <v/>
      </c>
      <c r="N100" s="62" t="str">
        <f t="shared" si="3"/>
        <v/>
      </c>
    </row>
    <row r="101" spans="1:14" ht="15" customHeight="1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2" t="str">
        <f>IF(OR(A101="",B101="",C101="",G101=""),"",SUMIFS(EVENTS!$G$5:$G$204,EVENTS!$A$5:$A$204,A101,EVENTS!$B$5:$B$204,B101,EVENTS!$C$5:$C$204,C101,EVENTS!$H$5:$H$204,G101))</f>
        <v/>
      </c>
      <c r="K101" s="63" t="str">
        <f>IF(J101="","",MAX(0,1-J101/IF(PASSDOWN!$U$2="",720,PASSDOWN!$U$2)))</f>
        <v/>
      </c>
      <c r="L101" s="63" t="str">
        <f>IFERROR(INDEX(PASSDOWN!$G$11:$G$15,MATCH(C101,PASSDOWN!$A$11:$A$15,0)),"")</f>
        <v/>
      </c>
      <c r="M101" s="64" t="str">
        <f t="shared" si="2"/>
        <v/>
      </c>
      <c r="N101" s="62" t="str">
        <f t="shared" si="3"/>
        <v/>
      </c>
    </row>
    <row r="102" spans="1:14" ht="15" customHeight="1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2" t="str">
        <f>IF(OR(A102="",B102="",C102="",G102=""),"",SUMIFS(EVENTS!$G$5:$G$204,EVENTS!$A$5:$A$204,A102,EVENTS!$B$5:$B$204,B102,EVENTS!$C$5:$C$204,C102,EVENTS!$H$5:$H$204,G102))</f>
        <v/>
      </c>
      <c r="K102" s="63" t="str">
        <f>IF(J102="","",MAX(0,1-J102/IF(PASSDOWN!$U$2="",720,PASSDOWN!$U$2)))</f>
        <v/>
      </c>
      <c r="L102" s="63" t="str">
        <f>IFERROR(INDEX(PASSDOWN!$G$11:$G$15,MATCH(C102,PASSDOWN!$A$11:$A$15,0)),"")</f>
        <v/>
      </c>
      <c r="M102" s="64" t="str">
        <f t="shared" si="2"/>
        <v/>
      </c>
      <c r="N102" s="62" t="str">
        <f t="shared" si="3"/>
        <v/>
      </c>
    </row>
    <row r="103" spans="1:14" ht="15" customHeight="1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2" t="str">
        <f>IF(OR(A103="",B103="",C103="",G103=""),"",SUMIFS(EVENTS!$G$5:$G$204,EVENTS!$A$5:$A$204,A103,EVENTS!$B$5:$B$204,B103,EVENTS!$C$5:$C$204,C103,EVENTS!$H$5:$H$204,G103))</f>
        <v/>
      </c>
      <c r="K103" s="63" t="str">
        <f>IF(J103="","",MAX(0,1-J103/IF(PASSDOWN!$U$2="",720,PASSDOWN!$U$2)))</f>
        <v/>
      </c>
      <c r="L103" s="63" t="str">
        <f>IFERROR(INDEX(PASSDOWN!$G$11:$G$15,MATCH(C103,PASSDOWN!$A$11:$A$15,0)),"")</f>
        <v/>
      </c>
      <c r="M103" s="64" t="str">
        <f t="shared" si="2"/>
        <v/>
      </c>
      <c r="N103" s="62" t="str">
        <f t="shared" si="3"/>
        <v/>
      </c>
    </row>
    <row r="104" spans="1:14" ht="15" customHeight="1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2" t="str">
        <f>IF(OR(A104="",B104="",C104="",G104=""),"",SUMIFS(EVENTS!$G$5:$G$204,EVENTS!$A$5:$A$204,A104,EVENTS!$B$5:$B$204,B104,EVENTS!$C$5:$C$204,C104,EVENTS!$H$5:$H$204,G104))</f>
        <v/>
      </c>
      <c r="K104" s="63" t="str">
        <f>IF(J104="","",MAX(0,1-J104/IF(PASSDOWN!$U$2="",720,PASSDOWN!$U$2)))</f>
        <v/>
      </c>
      <c r="L104" s="63" t="str">
        <f>IFERROR(INDEX(PASSDOWN!$G$11:$G$15,MATCH(C104,PASSDOWN!$A$11:$A$15,0)),"")</f>
        <v/>
      </c>
      <c r="M104" s="64" t="str">
        <f t="shared" si="2"/>
        <v/>
      </c>
      <c r="N104" s="62" t="str">
        <f t="shared" si="3"/>
        <v/>
      </c>
    </row>
    <row r="105" spans="1:14" ht="15" customHeight="1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2" t="str">
        <f>IF(OR(A105="",B105="",C105="",G105=""),"",SUMIFS(EVENTS!$G$5:$G$204,EVENTS!$A$5:$A$204,A105,EVENTS!$B$5:$B$204,B105,EVENTS!$C$5:$C$204,C105,EVENTS!$H$5:$H$204,G105))</f>
        <v/>
      </c>
      <c r="K105" s="63" t="str">
        <f>IF(J105="","",MAX(0,1-J105/IF(PASSDOWN!$U$2="",720,PASSDOWN!$U$2)))</f>
        <v/>
      </c>
      <c r="L105" s="63" t="str">
        <f>IFERROR(INDEX(PASSDOWN!$G$11:$G$15,MATCH(C105,PASSDOWN!$A$11:$A$15,0)),"")</f>
        <v/>
      </c>
      <c r="M105" s="64" t="str">
        <f t="shared" si="2"/>
        <v/>
      </c>
      <c r="N105" s="62" t="str">
        <f t="shared" si="3"/>
        <v/>
      </c>
    </row>
    <row r="106" spans="1:14" ht="15" customHeight="1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2" t="str">
        <f>IF(OR(A106="",B106="",C106="",G106=""),"",SUMIFS(EVENTS!$G$5:$G$204,EVENTS!$A$5:$A$204,A106,EVENTS!$B$5:$B$204,B106,EVENTS!$C$5:$C$204,C106,EVENTS!$H$5:$H$204,G106))</f>
        <v/>
      </c>
      <c r="K106" s="63" t="str">
        <f>IF(J106="","",MAX(0,1-J106/IF(PASSDOWN!$U$2="",720,PASSDOWN!$U$2)))</f>
        <v/>
      </c>
      <c r="L106" s="63" t="str">
        <f>IFERROR(INDEX(PASSDOWN!$G$11:$G$15,MATCH(C106,PASSDOWN!$A$11:$A$15,0)),"")</f>
        <v/>
      </c>
      <c r="M106" s="64" t="str">
        <f t="shared" si="2"/>
        <v/>
      </c>
      <c r="N106" s="62" t="str">
        <f t="shared" si="3"/>
        <v/>
      </c>
    </row>
    <row r="107" spans="1:14" ht="15" customHeight="1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2" t="str">
        <f>IF(OR(A107="",B107="",C107="",G107=""),"",SUMIFS(EVENTS!$G$5:$G$204,EVENTS!$A$5:$A$204,A107,EVENTS!$B$5:$B$204,B107,EVENTS!$C$5:$C$204,C107,EVENTS!$H$5:$H$204,G107))</f>
        <v/>
      </c>
      <c r="K107" s="63" t="str">
        <f>IF(J107="","",MAX(0,1-J107/IF(PASSDOWN!$U$2="",720,PASSDOWN!$U$2)))</f>
        <v/>
      </c>
      <c r="L107" s="63" t="str">
        <f>IFERROR(INDEX(PASSDOWN!$G$11:$G$15,MATCH(C107,PASSDOWN!$A$11:$A$15,0)),"")</f>
        <v/>
      </c>
      <c r="M107" s="64" t="str">
        <f t="shared" si="2"/>
        <v/>
      </c>
      <c r="N107" s="62" t="str">
        <f t="shared" si="3"/>
        <v/>
      </c>
    </row>
    <row r="108" spans="1:14" ht="15" customHeight="1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2" t="str">
        <f>IF(OR(A108="",B108="",C108="",G108=""),"",SUMIFS(EVENTS!$G$5:$G$204,EVENTS!$A$5:$A$204,A108,EVENTS!$B$5:$B$204,B108,EVENTS!$C$5:$C$204,C108,EVENTS!$H$5:$H$204,G108))</f>
        <v/>
      </c>
      <c r="K108" s="63" t="str">
        <f>IF(J108="","",MAX(0,1-J108/IF(PASSDOWN!$U$2="",720,PASSDOWN!$U$2)))</f>
        <v/>
      </c>
      <c r="L108" s="63" t="str">
        <f>IFERROR(INDEX(PASSDOWN!$G$11:$G$15,MATCH(C108,PASSDOWN!$A$11:$A$15,0)),"")</f>
        <v/>
      </c>
      <c r="M108" s="64" t="str">
        <f t="shared" si="2"/>
        <v/>
      </c>
      <c r="N108" s="62" t="str">
        <f t="shared" si="3"/>
        <v/>
      </c>
    </row>
    <row r="109" spans="1:14" ht="15" customHeight="1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2" t="str">
        <f>IF(OR(A109="",B109="",C109="",G109=""),"",SUMIFS(EVENTS!$G$5:$G$204,EVENTS!$A$5:$A$204,A109,EVENTS!$B$5:$B$204,B109,EVENTS!$C$5:$C$204,C109,EVENTS!$H$5:$H$204,G109))</f>
        <v/>
      </c>
      <c r="K109" s="63" t="str">
        <f>IF(J109="","",MAX(0,1-J109/IF(PASSDOWN!$U$2="",720,PASSDOWN!$U$2)))</f>
        <v/>
      </c>
      <c r="L109" s="63" t="str">
        <f>IFERROR(INDEX(PASSDOWN!$G$11:$G$15,MATCH(C109,PASSDOWN!$A$11:$A$15,0)),"")</f>
        <v/>
      </c>
      <c r="M109" s="64" t="str">
        <f t="shared" si="2"/>
        <v/>
      </c>
      <c r="N109" s="62" t="str">
        <f t="shared" si="3"/>
        <v/>
      </c>
    </row>
    <row r="110" spans="1:14" ht="15" customHeight="1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2" t="str">
        <f>IF(OR(A110="",B110="",C110="",G110=""),"",SUMIFS(EVENTS!$G$5:$G$204,EVENTS!$A$5:$A$204,A110,EVENTS!$B$5:$B$204,B110,EVENTS!$C$5:$C$204,C110,EVENTS!$H$5:$H$204,G110))</f>
        <v/>
      </c>
      <c r="K110" s="63" t="str">
        <f>IF(J110="","",MAX(0,1-J110/IF(PASSDOWN!$U$2="",720,PASSDOWN!$U$2)))</f>
        <v/>
      </c>
      <c r="L110" s="63" t="str">
        <f>IFERROR(INDEX(PASSDOWN!$G$11:$G$15,MATCH(C110,PASSDOWN!$A$11:$A$15,0)),"")</f>
        <v/>
      </c>
      <c r="M110" s="64" t="str">
        <f t="shared" si="2"/>
        <v/>
      </c>
      <c r="N110" s="62" t="str">
        <f t="shared" si="3"/>
        <v/>
      </c>
    </row>
    <row r="111" spans="1:14" ht="15" customHeight="1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2" t="str">
        <f>IF(OR(A111="",B111="",C111="",G111=""),"",SUMIFS(EVENTS!$G$5:$G$204,EVENTS!$A$5:$A$204,A111,EVENTS!$B$5:$B$204,B111,EVENTS!$C$5:$C$204,C111,EVENTS!$H$5:$H$204,G111))</f>
        <v/>
      </c>
      <c r="K111" s="63" t="str">
        <f>IF(J111="","",MAX(0,1-J111/IF(PASSDOWN!$U$2="",720,PASSDOWN!$U$2)))</f>
        <v/>
      </c>
      <c r="L111" s="63" t="str">
        <f>IFERROR(INDEX(PASSDOWN!$G$11:$G$15,MATCH(C111,PASSDOWN!$A$11:$A$15,0)),"")</f>
        <v/>
      </c>
      <c r="M111" s="64" t="str">
        <f t="shared" si="2"/>
        <v/>
      </c>
      <c r="N111" s="62" t="str">
        <f t="shared" si="3"/>
        <v/>
      </c>
    </row>
    <row r="112" spans="1:14" ht="15" customHeight="1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2" t="str">
        <f>IF(OR(A112="",B112="",C112="",G112=""),"",SUMIFS(EVENTS!$G$5:$G$204,EVENTS!$A$5:$A$204,A112,EVENTS!$B$5:$B$204,B112,EVENTS!$C$5:$C$204,C112,EVENTS!$H$5:$H$204,G112))</f>
        <v/>
      </c>
      <c r="K112" s="63" t="str">
        <f>IF(J112="","",MAX(0,1-J112/IF(PASSDOWN!$U$2="",720,PASSDOWN!$U$2)))</f>
        <v/>
      </c>
      <c r="L112" s="63" t="str">
        <f>IFERROR(INDEX(PASSDOWN!$G$11:$G$15,MATCH(C112,PASSDOWN!$A$11:$A$15,0)),"")</f>
        <v/>
      </c>
      <c r="M112" s="64" t="str">
        <f t="shared" si="2"/>
        <v/>
      </c>
      <c r="N112" s="62" t="str">
        <f t="shared" si="3"/>
        <v/>
      </c>
    </row>
    <row r="113" spans="1:14" ht="15" customHeight="1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2" t="str">
        <f>IF(OR(A113="",B113="",C113="",G113=""),"",SUMIFS(EVENTS!$G$5:$G$204,EVENTS!$A$5:$A$204,A113,EVENTS!$B$5:$B$204,B113,EVENTS!$C$5:$C$204,C113,EVENTS!$H$5:$H$204,G113))</f>
        <v/>
      </c>
      <c r="K113" s="63" t="str">
        <f>IF(J113="","",MAX(0,1-J113/IF(PASSDOWN!$U$2="",720,PASSDOWN!$U$2)))</f>
        <v/>
      </c>
      <c r="L113" s="63" t="str">
        <f>IFERROR(INDEX(PASSDOWN!$G$11:$G$15,MATCH(C113,PASSDOWN!$A$11:$A$15,0)),"")</f>
        <v/>
      </c>
      <c r="M113" s="64" t="str">
        <f t="shared" si="2"/>
        <v/>
      </c>
      <c r="N113" s="62" t="str">
        <f t="shared" si="3"/>
        <v/>
      </c>
    </row>
    <row r="114" spans="1:14" ht="15" customHeight="1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2" t="str">
        <f>IF(OR(A114="",B114="",C114="",G114=""),"",SUMIFS(EVENTS!$G$5:$G$204,EVENTS!$A$5:$A$204,A114,EVENTS!$B$5:$B$204,B114,EVENTS!$C$5:$C$204,C114,EVENTS!$H$5:$H$204,G114))</f>
        <v/>
      </c>
      <c r="K114" s="63" t="str">
        <f>IF(J114="","",MAX(0,1-J114/IF(PASSDOWN!$U$2="",720,PASSDOWN!$U$2)))</f>
        <v/>
      </c>
      <c r="L114" s="63" t="str">
        <f>IFERROR(INDEX(PASSDOWN!$G$11:$G$15,MATCH(C114,PASSDOWN!$A$11:$A$15,0)),"")</f>
        <v/>
      </c>
      <c r="M114" s="64" t="str">
        <f t="shared" si="2"/>
        <v/>
      </c>
      <c r="N114" s="62" t="str">
        <f t="shared" si="3"/>
        <v/>
      </c>
    </row>
    <row r="115" spans="1:14" ht="15" customHeight="1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2" t="str">
        <f>IF(OR(A115="",B115="",C115="",G115=""),"",SUMIFS(EVENTS!$G$5:$G$204,EVENTS!$A$5:$A$204,A115,EVENTS!$B$5:$B$204,B115,EVENTS!$C$5:$C$204,C115,EVENTS!$H$5:$H$204,G115))</f>
        <v/>
      </c>
      <c r="K115" s="63" t="str">
        <f>IF(J115="","",MAX(0,1-J115/IF(PASSDOWN!$U$2="",720,PASSDOWN!$U$2)))</f>
        <v/>
      </c>
      <c r="L115" s="63" t="str">
        <f>IFERROR(INDEX(PASSDOWN!$G$11:$G$15,MATCH(C115,PASSDOWN!$A$11:$A$15,0)),"")</f>
        <v/>
      </c>
      <c r="M115" s="64" t="str">
        <f t="shared" si="2"/>
        <v/>
      </c>
      <c r="N115" s="62" t="str">
        <f t="shared" si="3"/>
        <v/>
      </c>
    </row>
    <row r="116" spans="1:14" ht="15" customHeight="1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2" t="str">
        <f>IF(OR(A116="",B116="",C116="",G116=""),"",SUMIFS(EVENTS!$G$5:$G$204,EVENTS!$A$5:$A$204,A116,EVENTS!$B$5:$B$204,B116,EVENTS!$C$5:$C$204,C116,EVENTS!$H$5:$H$204,G116))</f>
        <v/>
      </c>
      <c r="K116" s="63" t="str">
        <f>IF(J116="","",MAX(0,1-J116/IF(PASSDOWN!$U$2="",720,PASSDOWN!$U$2)))</f>
        <v/>
      </c>
      <c r="L116" s="63" t="str">
        <f>IFERROR(INDEX(PASSDOWN!$G$11:$G$15,MATCH(C116,PASSDOWN!$A$11:$A$15,0)),"")</f>
        <v/>
      </c>
      <c r="M116" s="64" t="str">
        <f t="shared" si="2"/>
        <v/>
      </c>
      <c r="N116" s="62" t="str">
        <f t="shared" si="3"/>
        <v/>
      </c>
    </row>
    <row r="117" spans="1:14" ht="15" customHeight="1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2" t="str">
        <f>IF(OR(A117="",B117="",C117="",G117=""),"",SUMIFS(EVENTS!$G$5:$G$204,EVENTS!$A$5:$A$204,A117,EVENTS!$B$5:$B$204,B117,EVENTS!$C$5:$C$204,C117,EVENTS!$H$5:$H$204,G117))</f>
        <v/>
      </c>
      <c r="K117" s="63" t="str">
        <f>IF(J117="","",MAX(0,1-J117/IF(PASSDOWN!$U$2="",720,PASSDOWN!$U$2)))</f>
        <v/>
      </c>
      <c r="L117" s="63" t="str">
        <f>IFERROR(INDEX(PASSDOWN!$G$11:$G$15,MATCH(C117,PASSDOWN!$A$11:$A$15,0)),"")</f>
        <v/>
      </c>
      <c r="M117" s="64" t="str">
        <f t="shared" si="2"/>
        <v/>
      </c>
      <c r="N117" s="62" t="str">
        <f t="shared" si="3"/>
        <v/>
      </c>
    </row>
    <row r="118" spans="1:14" ht="15" customHeight="1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2" t="str">
        <f>IF(OR(A118="",B118="",C118="",G118=""),"",SUMIFS(EVENTS!$G$5:$G$204,EVENTS!$A$5:$A$204,A118,EVENTS!$B$5:$B$204,B118,EVENTS!$C$5:$C$204,C118,EVENTS!$H$5:$H$204,G118))</f>
        <v/>
      </c>
      <c r="K118" s="63" t="str">
        <f>IF(J118="","",MAX(0,1-J118/IF(PASSDOWN!$U$2="",720,PASSDOWN!$U$2)))</f>
        <v/>
      </c>
      <c r="L118" s="63" t="str">
        <f>IFERROR(INDEX(PASSDOWN!$G$11:$G$15,MATCH(C118,PASSDOWN!$A$11:$A$15,0)),"")</f>
        <v/>
      </c>
      <c r="M118" s="64" t="str">
        <f t="shared" si="2"/>
        <v/>
      </c>
      <c r="N118" s="62" t="str">
        <f t="shared" si="3"/>
        <v/>
      </c>
    </row>
    <row r="119" spans="1:14" ht="15" customHeight="1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2" t="str">
        <f>IF(OR(A119="",B119="",C119="",G119=""),"",SUMIFS(EVENTS!$G$5:$G$204,EVENTS!$A$5:$A$204,A119,EVENTS!$B$5:$B$204,B119,EVENTS!$C$5:$C$204,C119,EVENTS!$H$5:$H$204,G119))</f>
        <v/>
      </c>
      <c r="K119" s="63" t="str">
        <f>IF(J119="","",MAX(0,1-J119/IF(PASSDOWN!$U$2="",720,PASSDOWN!$U$2)))</f>
        <v/>
      </c>
      <c r="L119" s="63" t="str">
        <f>IFERROR(INDEX(PASSDOWN!$G$11:$G$15,MATCH(C119,PASSDOWN!$A$11:$A$15,0)),"")</f>
        <v/>
      </c>
      <c r="M119" s="64" t="str">
        <f t="shared" si="2"/>
        <v/>
      </c>
      <c r="N119" s="62" t="str">
        <f t="shared" si="3"/>
        <v/>
      </c>
    </row>
    <row r="120" spans="1:14" ht="15" customHeight="1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2" t="str">
        <f>IF(OR(A120="",B120="",C120="",G120=""),"",SUMIFS(EVENTS!$G$5:$G$204,EVENTS!$A$5:$A$204,A120,EVENTS!$B$5:$B$204,B120,EVENTS!$C$5:$C$204,C120,EVENTS!$H$5:$H$204,G120))</f>
        <v/>
      </c>
      <c r="K120" s="63" t="str">
        <f>IF(J120="","",MAX(0,1-J120/IF(PASSDOWN!$U$2="",720,PASSDOWN!$U$2)))</f>
        <v/>
      </c>
      <c r="L120" s="63" t="str">
        <f>IFERROR(INDEX(PASSDOWN!$G$11:$G$15,MATCH(C120,PASSDOWN!$A$11:$A$15,0)),"")</f>
        <v/>
      </c>
      <c r="M120" s="64" t="str">
        <f t="shared" si="2"/>
        <v/>
      </c>
      <c r="N120" s="62" t="str">
        <f t="shared" si="3"/>
        <v/>
      </c>
    </row>
    <row r="121" spans="1:14" ht="15" customHeight="1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2" t="str">
        <f>IF(OR(A121="",B121="",C121="",G121=""),"",SUMIFS(EVENTS!$G$5:$G$204,EVENTS!$A$5:$A$204,A121,EVENTS!$B$5:$B$204,B121,EVENTS!$C$5:$C$204,C121,EVENTS!$H$5:$H$204,G121))</f>
        <v/>
      </c>
      <c r="K121" s="63" t="str">
        <f>IF(J121="","",MAX(0,1-J121/IF(PASSDOWN!$U$2="",720,PASSDOWN!$U$2)))</f>
        <v/>
      </c>
      <c r="L121" s="63" t="str">
        <f>IFERROR(INDEX(PASSDOWN!$G$11:$G$15,MATCH(C121,PASSDOWN!$A$11:$A$15,0)),"")</f>
        <v/>
      </c>
      <c r="M121" s="64" t="str">
        <f t="shared" si="2"/>
        <v/>
      </c>
      <c r="N121" s="62" t="str">
        <f t="shared" si="3"/>
        <v/>
      </c>
    </row>
    <row r="122" spans="1:14" ht="15" customHeight="1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2" t="str">
        <f>IF(OR(A122="",B122="",C122="",G122=""),"",SUMIFS(EVENTS!$G$5:$G$204,EVENTS!$A$5:$A$204,A122,EVENTS!$B$5:$B$204,B122,EVENTS!$C$5:$C$204,C122,EVENTS!$H$5:$H$204,G122))</f>
        <v/>
      </c>
      <c r="K122" s="63" t="str">
        <f>IF(J122="","",MAX(0,1-J122/IF(PASSDOWN!$U$2="",720,PASSDOWN!$U$2)))</f>
        <v/>
      </c>
      <c r="L122" s="63" t="str">
        <f>IFERROR(INDEX(PASSDOWN!$G$11:$G$15,MATCH(C122,PASSDOWN!$A$11:$A$15,0)),"")</f>
        <v/>
      </c>
      <c r="M122" s="64" t="str">
        <f t="shared" si="2"/>
        <v/>
      </c>
      <c r="N122" s="62" t="str">
        <f t="shared" si="3"/>
        <v/>
      </c>
    </row>
    <row r="123" spans="1:14" ht="15" customHeight="1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2" t="str">
        <f>IF(OR(A123="",B123="",C123="",G123=""),"",SUMIFS(EVENTS!$G$5:$G$204,EVENTS!$A$5:$A$204,A123,EVENTS!$B$5:$B$204,B123,EVENTS!$C$5:$C$204,C123,EVENTS!$H$5:$H$204,G123))</f>
        <v/>
      </c>
      <c r="K123" s="63" t="str">
        <f>IF(J123="","",MAX(0,1-J123/IF(PASSDOWN!$U$2="",720,PASSDOWN!$U$2)))</f>
        <v/>
      </c>
      <c r="L123" s="63" t="str">
        <f>IFERROR(INDEX(PASSDOWN!$G$11:$G$15,MATCH(C123,PASSDOWN!$A$11:$A$15,0)),"")</f>
        <v/>
      </c>
      <c r="M123" s="64" t="str">
        <f t="shared" si="2"/>
        <v/>
      </c>
      <c r="N123" s="62" t="str">
        <f t="shared" si="3"/>
        <v/>
      </c>
    </row>
    <row r="124" spans="1:14" ht="15" customHeight="1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2" t="str">
        <f>IF(OR(A124="",B124="",C124="",G124=""),"",SUMIFS(EVENTS!$G$5:$G$204,EVENTS!$A$5:$A$204,A124,EVENTS!$B$5:$B$204,B124,EVENTS!$C$5:$C$204,C124,EVENTS!$H$5:$H$204,G124))</f>
        <v/>
      </c>
      <c r="K124" s="63" t="str">
        <f>IF(J124="","",MAX(0,1-J124/IF(PASSDOWN!$U$2="",720,PASSDOWN!$U$2)))</f>
        <v/>
      </c>
      <c r="L124" s="63" t="str">
        <f>IFERROR(INDEX(PASSDOWN!$G$11:$G$15,MATCH(C124,PASSDOWN!$A$11:$A$15,0)),"")</f>
        <v/>
      </c>
      <c r="M124" s="64" t="str">
        <f t="shared" si="2"/>
        <v/>
      </c>
      <c r="N124" s="62" t="str">
        <f t="shared" si="3"/>
        <v/>
      </c>
    </row>
    <row r="125" spans="1:14" ht="15" customHeight="1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2" t="str">
        <f>IF(OR(A125="",B125="",C125="",G125=""),"",SUMIFS(EVENTS!$G$5:$G$204,EVENTS!$A$5:$A$204,A125,EVENTS!$B$5:$B$204,B125,EVENTS!$C$5:$C$204,C125,EVENTS!$H$5:$H$204,G125))</f>
        <v/>
      </c>
      <c r="K125" s="63" t="str">
        <f>IF(J125="","",MAX(0,1-J125/IF(PASSDOWN!$U$2="",720,PASSDOWN!$U$2)))</f>
        <v/>
      </c>
      <c r="L125" s="63" t="str">
        <f>IFERROR(INDEX(PASSDOWN!$G$11:$G$15,MATCH(C125,PASSDOWN!$A$11:$A$15,0)),"")</f>
        <v/>
      </c>
      <c r="M125" s="64" t="str">
        <f t="shared" si="2"/>
        <v/>
      </c>
      <c r="N125" s="62" t="str">
        <f t="shared" si="3"/>
        <v/>
      </c>
    </row>
    <row r="126" spans="1:14" ht="15" customHeight="1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2" t="str">
        <f>IF(OR(A126="",B126="",C126="",G126=""),"",SUMIFS(EVENTS!$G$5:$G$204,EVENTS!$A$5:$A$204,A126,EVENTS!$B$5:$B$204,B126,EVENTS!$C$5:$C$204,C126,EVENTS!$H$5:$H$204,G126))</f>
        <v/>
      </c>
      <c r="K126" s="63" t="str">
        <f>IF(J126="","",MAX(0,1-J126/IF(PASSDOWN!$U$2="",720,PASSDOWN!$U$2)))</f>
        <v/>
      </c>
      <c r="L126" s="63" t="str">
        <f>IFERROR(INDEX(PASSDOWN!$G$11:$G$15,MATCH(C126,PASSDOWN!$A$11:$A$15,0)),"")</f>
        <v/>
      </c>
      <c r="M126" s="64" t="str">
        <f t="shared" si="2"/>
        <v/>
      </c>
      <c r="N126" s="62" t="str">
        <f t="shared" si="3"/>
        <v/>
      </c>
    </row>
    <row r="127" spans="1:14" ht="15" customHeight="1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2" t="str">
        <f>IF(OR(A127="",B127="",C127="",G127=""),"",SUMIFS(EVENTS!$G$5:$G$204,EVENTS!$A$5:$A$204,A127,EVENTS!$B$5:$B$204,B127,EVENTS!$C$5:$C$204,C127,EVENTS!$H$5:$H$204,G127))</f>
        <v/>
      </c>
      <c r="K127" s="63" t="str">
        <f>IF(J127="","",MAX(0,1-J127/IF(PASSDOWN!$U$2="",720,PASSDOWN!$U$2)))</f>
        <v/>
      </c>
      <c r="L127" s="63" t="str">
        <f>IFERROR(INDEX(PASSDOWN!$G$11:$G$15,MATCH(C127,PASSDOWN!$A$11:$A$15,0)),"")</f>
        <v/>
      </c>
      <c r="M127" s="64" t="str">
        <f t="shared" si="2"/>
        <v/>
      </c>
      <c r="N127" s="62" t="str">
        <f t="shared" si="3"/>
        <v/>
      </c>
    </row>
    <row r="128" spans="1:14" ht="15" customHeight="1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2" t="str">
        <f>IF(OR(A128="",B128="",C128="",G128=""),"",SUMIFS(EVENTS!$G$5:$G$204,EVENTS!$A$5:$A$204,A128,EVENTS!$B$5:$B$204,B128,EVENTS!$C$5:$C$204,C128,EVENTS!$H$5:$H$204,G128))</f>
        <v/>
      </c>
      <c r="K128" s="63" t="str">
        <f>IF(J128="","",MAX(0,1-J128/IF(PASSDOWN!$U$2="",720,PASSDOWN!$U$2)))</f>
        <v/>
      </c>
      <c r="L128" s="63" t="str">
        <f>IFERROR(INDEX(PASSDOWN!$G$11:$G$15,MATCH(C128,PASSDOWN!$A$11:$A$15,0)),"")</f>
        <v/>
      </c>
      <c r="M128" s="64" t="str">
        <f t="shared" si="2"/>
        <v/>
      </c>
      <c r="N128" s="62" t="str">
        <f t="shared" si="3"/>
        <v/>
      </c>
    </row>
    <row r="129" spans="1:14" ht="15" customHeight="1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2" t="str">
        <f>IF(OR(A129="",B129="",C129="",G129=""),"",SUMIFS(EVENTS!$G$5:$G$204,EVENTS!$A$5:$A$204,A129,EVENTS!$B$5:$B$204,B129,EVENTS!$C$5:$C$204,C129,EVENTS!$H$5:$H$204,G129))</f>
        <v/>
      </c>
      <c r="K129" s="63" t="str">
        <f>IF(J129="","",MAX(0,1-J129/IF(PASSDOWN!$U$2="",720,PASSDOWN!$U$2)))</f>
        <v/>
      </c>
      <c r="L129" s="63" t="str">
        <f>IFERROR(INDEX(PASSDOWN!$G$11:$G$15,MATCH(C129,PASSDOWN!$A$11:$A$15,0)),"")</f>
        <v/>
      </c>
      <c r="M129" s="64" t="str">
        <f t="shared" si="2"/>
        <v/>
      </c>
      <c r="N129" s="62" t="str">
        <f t="shared" si="3"/>
        <v/>
      </c>
    </row>
    <row r="130" spans="1:14" ht="15" customHeight="1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2" t="str">
        <f>IF(OR(A130="",B130="",C130="",G130=""),"",SUMIFS(EVENTS!$G$5:$G$204,EVENTS!$A$5:$A$204,A130,EVENTS!$B$5:$B$204,B130,EVENTS!$C$5:$C$204,C130,EVENTS!$H$5:$H$204,G130))</f>
        <v/>
      </c>
      <c r="K130" s="63" t="str">
        <f>IF(J130="","",MAX(0,1-J130/IF(PASSDOWN!$U$2="",720,PASSDOWN!$U$2)))</f>
        <v/>
      </c>
      <c r="L130" s="63" t="str">
        <f>IFERROR(INDEX(PASSDOWN!$G$11:$G$15,MATCH(C130,PASSDOWN!$A$11:$A$15,0)),"")</f>
        <v/>
      </c>
      <c r="M130" s="64" t="str">
        <f t="shared" si="2"/>
        <v/>
      </c>
      <c r="N130" s="62" t="str">
        <f t="shared" si="3"/>
        <v/>
      </c>
    </row>
    <row r="131" spans="1:14" ht="15" customHeight="1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2" t="str">
        <f>IF(OR(A131="",B131="",C131="",G131=""),"",SUMIFS(EVENTS!$G$5:$G$204,EVENTS!$A$5:$A$204,A131,EVENTS!$B$5:$B$204,B131,EVENTS!$C$5:$C$204,C131,EVENTS!$H$5:$H$204,G131))</f>
        <v/>
      </c>
      <c r="K131" s="63" t="str">
        <f>IF(J131="","",MAX(0,1-J131/IF(PASSDOWN!$U$2="",720,PASSDOWN!$U$2)))</f>
        <v/>
      </c>
      <c r="L131" s="63" t="str">
        <f>IFERROR(INDEX(PASSDOWN!$G$11:$G$15,MATCH(C131,PASSDOWN!$A$11:$A$15,0)),"")</f>
        <v/>
      </c>
      <c r="M131" s="64" t="str">
        <f t="shared" ref="M131:M194" si="4">IF(OR(K131="",L131=""),"",ROUND(100*K131*IF(L131&gt;1,L131/100,L131),0))</f>
        <v/>
      </c>
      <c r="N131" s="62" t="str">
        <f t="shared" ref="N131:N194" si="5">IF(M131="","",IF(M131&gt;=90,"A",IF(M131&gt;=80,"B",IF(M131&gt;=70,"C",IF(M131&gt;=60,"D","F")))))</f>
        <v/>
      </c>
    </row>
    <row r="132" spans="1:14" ht="15" customHeight="1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2" t="str">
        <f>IF(OR(A132="",B132="",C132="",G132=""),"",SUMIFS(EVENTS!$G$5:$G$204,EVENTS!$A$5:$A$204,A132,EVENTS!$B$5:$B$204,B132,EVENTS!$C$5:$C$204,C132,EVENTS!$H$5:$H$204,G132))</f>
        <v/>
      </c>
      <c r="K132" s="63" t="str">
        <f>IF(J132="","",MAX(0,1-J132/IF(PASSDOWN!$U$2="",720,PASSDOWN!$U$2)))</f>
        <v/>
      </c>
      <c r="L132" s="63" t="str">
        <f>IFERROR(INDEX(PASSDOWN!$G$11:$G$15,MATCH(C132,PASSDOWN!$A$11:$A$15,0)),"")</f>
        <v/>
      </c>
      <c r="M132" s="64" t="str">
        <f t="shared" si="4"/>
        <v/>
      </c>
      <c r="N132" s="62" t="str">
        <f t="shared" si="5"/>
        <v/>
      </c>
    </row>
    <row r="133" spans="1:14" ht="15" customHeight="1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2" t="str">
        <f>IF(OR(A133="",B133="",C133="",G133=""),"",SUMIFS(EVENTS!$G$5:$G$204,EVENTS!$A$5:$A$204,A133,EVENTS!$B$5:$B$204,B133,EVENTS!$C$5:$C$204,C133,EVENTS!$H$5:$H$204,G133))</f>
        <v/>
      </c>
      <c r="K133" s="63" t="str">
        <f>IF(J133="","",MAX(0,1-J133/IF(PASSDOWN!$U$2="",720,PASSDOWN!$U$2)))</f>
        <v/>
      </c>
      <c r="L133" s="63" t="str">
        <f>IFERROR(INDEX(PASSDOWN!$G$11:$G$15,MATCH(C133,PASSDOWN!$A$11:$A$15,0)),"")</f>
        <v/>
      </c>
      <c r="M133" s="64" t="str">
        <f t="shared" si="4"/>
        <v/>
      </c>
      <c r="N133" s="62" t="str">
        <f t="shared" si="5"/>
        <v/>
      </c>
    </row>
    <row r="134" spans="1:14" ht="15" customHeight="1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2" t="str">
        <f>IF(OR(A134="",B134="",C134="",G134=""),"",SUMIFS(EVENTS!$G$5:$G$204,EVENTS!$A$5:$A$204,A134,EVENTS!$B$5:$B$204,B134,EVENTS!$C$5:$C$204,C134,EVENTS!$H$5:$H$204,G134))</f>
        <v/>
      </c>
      <c r="K134" s="63" t="str">
        <f>IF(J134="","",MAX(0,1-J134/IF(PASSDOWN!$U$2="",720,PASSDOWN!$U$2)))</f>
        <v/>
      </c>
      <c r="L134" s="63" t="str">
        <f>IFERROR(INDEX(PASSDOWN!$G$11:$G$15,MATCH(C134,PASSDOWN!$A$11:$A$15,0)),"")</f>
        <v/>
      </c>
      <c r="M134" s="64" t="str">
        <f t="shared" si="4"/>
        <v/>
      </c>
      <c r="N134" s="62" t="str">
        <f t="shared" si="5"/>
        <v/>
      </c>
    </row>
    <row r="135" spans="1:14" ht="15" customHeight="1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2" t="str">
        <f>IF(OR(A135="",B135="",C135="",G135=""),"",SUMIFS(EVENTS!$G$5:$G$204,EVENTS!$A$5:$A$204,A135,EVENTS!$B$5:$B$204,B135,EVENTS!$C$5:$C$204,C135,EVENTS!$H$5:$H$204,G135))</f>
        <v/>
      </c>
      <c r="K135" s="63" t="str">
        <f>IF(J135="","",MAX(0,1-J135/IF(PASSDOWN!$U$2="",720,PASSDOWN!$U$2)))</f>
        <v/>
      </c>
      <c r="L135" s="63" t="str">
        <f>IFERROR(INDEX(PASSDOWN!$G$11:$G$15,MATCH(C135,PASSDOWN!$A$11:$A$15,0)),"")</f>
        <v/>
      </c>
      <c r="M135" s="64" t="str">
        <f t="shared" si="4"/>
        <v/>
      </c>
      <c r="N135" s="62" t="str">
        <f t="shared" si="5"/>
        <v/>
      </c>
    </row>
    <row r="136" spans="1:14" ht="15" customHeight="1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2" t="str">
        <f>IF(OR(A136="",B136="",C136="",G136=""),"",SUMIFS(EVENTS!$G$5:$G$204,EVENTS!$A$5:$A$204,A136,EVENTS!$B$5:$B$204,B136,EVENTS!$C$5:$C$204,C136,EVENTS!$H$5:$H$204,G136))</f>
        <v/>
      </c>
      <c r="K136" s="63" t="str">
        <f>IF(J136="","",MAX(0,1-J136/IF(PASSDOWN!$U$2="",720,PASSDOWN!$U$2)))</f>
        <v/>
      </c>
      <c r="L136" s="63" t="str">
        <f>IFERROR(INDEX(PASSDOWN!$G$11:$G$15,MATCH(C136,PASSDOWN!$A$11:$A$15,0)),"")</f>
        <v/>
      </c>
      <c r="M136" s="64" t="str">
        <f t="shared" si="4"/>
        <v/>
      </c>
      <c r="N136" s="62" t="str">
        <f t="shared" si="5"/>
        <v/>
      </c>
    </row>
    <row r="137" spans="1:14" ht="15" customHeight="1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2" t="str">
        <f>IF(OR(A137="",B137="",C137="",G137=""),"",SUMIFS(EVENTS!$G$5:$G$204,EVENTS!$A$5:$A$204,A137,EVENTS!$B$5:$B$204,B137,EVENTS!$C$5:$C$204,C137,EVENTS!$H$5:$H$204,G137))</f>
        <v/>
      </c>
      <c r="K137" s="63" t="str">
        <f>IF(J137="","",MAX(0,1-J137/IF(PASSDOWN!$U$2="",720,PASSDOWN!$U$2)))</f>
        <v/>
      </c>
      <c r="L137" s="63" t="str">
        <f>IFERROR(INDEX(PASSDOWN!$G$11:$G$15,MATCH(C137,PASSDOWN!$A$11:$A$15,0)),"")</f>
        <v/>
      </c>
      <c r="M137" s="64" t="str">
        <f t="shared" si="4"/>
        <v/>
      </c>
      <c r="N137" s="62" t="str">
        <f t="shared" si="5"/>
        <v/>
      </c>
    </row>
    <row r="138" spans="1:14" ht="15" customHeight="1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2" t="str">
        <f>IF(OR(A138="",B138="",C138="",G138=""),"",SUMIFS(EVENTS!$G$5:$G$204,EVENTS!$A$5:$A$204,A138,EVENTS!$B$5:$B$204,B138,EVENTS!$C$5:$C$204,C138,EVENTS!$H$5:$H$204,G138))</f>
        <v/>
      </c>
      <c r="K138" s="63" t="str">
        <f>IF(J138="","",MAX(0,1-J138/IF(PASSDOWN!$U$2="",720,PASSDOWN!$U$2)))</f>
        <v/>
      </c>
      <c r="L138" s="63" t="str">
        <f>IFERROR(INDEX(PASSDOWN!$G$11:$G$15,MATCH(C138,PASSDOWN!$A$11:$A$15,0)),"")</f>
        <v/>
      </c>
      <c r="M138" s="64" t="str">
        <f t="shared" si="4"/>
        <v/>
      </c>
      <c r="N138" s="62" t="str">
        <f t="shared" si="5"/>
        <v/>
      </c>
    </row>
    <row r="139" spans="1:14" ht="15" customHeight="1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2" t="str">
        <f>IF(OR(A139="",B139="",C139="",G139=""),"",SUMIFS(EVENTS!$G$5:$G$204,EVENTS!$A$5:$A$204,A139,EVENTS!$B$5:$B$204,B139,EVENTS!$C$5:$C$204,C139,EVENTS!$H$5:$H$204,G139))</f>
        <v/>
      </c>
      <c r="K139" s="63" t="str">
        <f>IF(J139="","",MAX(0,1-J139/IF(PASSDOWN!$U$2="",720,PASSDOWN!$U$2)))</f>
        <v/>
      </c>
      <c r="L139" s="63" t="str">
        <f>IFERROR(INDEX(PASSDOWN!$G$11:$G$15,MATCH(C139,PASSDOWN!$A$11:$A$15,0)),"")</f>
        <v/>
      </c>
      <c r="M139" s="64" t="str">
        <f t="shared" si="4"/>
        <v/>
      </c>
      <c r="N139" s="62" t="str">
        <f t="shared" si="5"/>
        <v/>
      </c>
    </row>
    <row r="140" spans="1:14" ht="15" customHeight="1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2" t="str">
        <f>IF(OR(A140="",B140="",C140="",G140=""),"",SUMIFS(EVENTS!$G$5:$G$204,EVENTS!$A$5:$A$204,A140,EVENTS!$B$5:$B$204,B140,EVENTS!$C$5:$C$204,C140,EVENTS!$H$5:$H$204,G140))</f>
        <v/>
      </c>
      <c r="K140" s="63" t="str">
        <f>IF(J140="","",MAX(0,1-J140/IF(PASSDOWN!$U$2="",720,PASSDOWN!$U$2)))</f>
        <v/>
      </c>
      <c r="L140" s="63" t="str">
        <f>IFERROR(INDEX(PASSDOWN!$G$11:$G$15,MATCH(C140,PASSDOWN!$A$11:$A$15,0)),"")</f>
        <v/>
      </c>
      <c r="M140" s="64" t="str">
        <f t="shared" si="4"/>
        <v/>
      </c>
      <c r="N140" s="62" t="str">
        <f t="shared" si="5"/>
        <v/>
      </c>
    </row>
    <row r="141" spans="1:14" ht="15" customHeight="1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2" t="str">
        <f>IF(OR(A141="",B141="",C141="",G141=""),"",SUMIFS(EVENTS!$G$5:$G$204,EVENTS!$A$5:$A$204,A141,EVENTS!$B$5:$B$204,B141,EVENTS!$C$5:$C$204,C141,EVENTS!$H$5:$H$204,G141))</f>
        <v/>
      </c>
      <c r="K141" s="63" t="str">
        <f>IF(J141="","",MAX(0,1-J141/IF(PASSDOWN!$U$2="",720,PASSDOWN!$U$2)))</f>
        <v/>
      </c>
      <c r="L141" s="63" t="str">
        <f>IFERROR(INDEX(PASSDOWN!$G$11:$G$15,MATCH(C141,PASSDOWN!$A$11:$A$15,0)),"")</f>
        <v/>
      </c>
      <c r="M141" s="64" t="str">
        <f t="shared" si="4"/>
        <v/>
      </c>
      <c r="N141" s="62" t="str">
        <f t="shared" si="5"/>
        <v/>
      </c>
    </row>
    <row r="142" spans="1:14" ht="15" customHeight="1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2" t="str">
        <f>IF(OR(A142="",B142="",C142="",G142=""),"",SUMIFS(EVENTS!$G$5:$G$204,EVENTS!$A$5:$A$204,A142,EVENTS!$B$5:$B$204,B142,EVENTS!$C$5:$C$204,C142,EVENTS!$H$5:$H$204,G142))</f>
        <v/>
      </c>
      <c r="K142" s="63" t="str">
        <f>IF(J142="","",MAX(0,1-J142/IF(PASSDOWN!$U$2="",720,PASSDOWN!$U$2)))</f>
        <v/>
      </c>
      <c r="L142" s="63" t="str">
        <f>IFERROR(INDEX(PASSDOWN!$G$11:$G$15,MATCH(C142,PASSDOWN!$A$11:$A$15,0)),"")</f>
        <v/>
      </c>
      <c r="M142" s="64" t="str">
        <f t="shared" si="4"/>
        <v/>
      </c>
      <c r="N142" s="62" t="str">
        <f t="shared" si="5"/>
        <v/>
      </c>
    </row>
    <row r="143" spans="1:14" ht="15" customHeight="1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2" t="str">
        <f>IF(OR(A143="",B143="",C143="",G143=""),"",SUMIFS(EVENTS!$G$5:$G$204,EVENTS!$A$5:$A$204,A143,EVENTS!$B$5:$B$204,B143,EVENTS!$C$5:$C$204,C143,EVENTS!$H$5:$H$204,G143))</f>
        <v/>
      </c>
      <c r="K143" s="63" t="str">
        <f>IF(J143="","",MAX(0,1-J143/IF(PASSDOWN!$U$2="",720,PASSDOWN!$U$2)))</f>
        <v/>
      </c>
      <c r="L143" s="63" t="str">
        <f>IFERROR(INDEX(PASSDOWN!$G$11:$G$15,MATCH(C143,PASSDOWN!$A$11:$A$15,0)),"")</f>
        <v/>
      </c>
      <c r="M143" s="64" t="str">
        <f t="shared" si="4"/>
        <v/>
      </c>
      <c r="N143" s="62" t="str">
        <f t="shared" si="5"/>
        <v/>
      </c>
    </row>
    <row r="144" spans="1:14" ht="15" customHeight="1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2" t="str">
        <f>IF(OR(A144="",B144="",C144="",G144=""),"",SUMIFS(EVENTS!$G$5:$G$204,EVENTS!$A$5:$A$204,A144,EVENTS!$B$5:$B$204,B144,EVENTS!$C$5:$C$204,C144,EVENTS!$H$5:$H$204,G144))</f>
        <v/>
      </c>
      <c r="K144" s="63" t="str">
        <f>IF(J144="","",MAX(0,1-J144/IF(PASSDOWN!$U$2="",720,PASSDOWN!$U$2)))</f>
        <v/>
      </c>
      <c r="L144" s="63" t="str">
        <f>IFERROR(INDEX(PASSDOWN!$G$11:$G$15,MATCH(C144,PASSDOWN!$A$11:$A$15,0)),"")</f>
        <v/>
      </c>
      <c r="M144" s="64" t="str">
        <f t="shared" si="4"/>
        <v/>
      </c>
      <c r="N144" s="62" t="str">
        <f t="shared" si="5"/>
        <v/>
      </c>
    </row>
    <row r="145" spans="1:14" ht="15" customHeight="1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2" t="str">
        <f>IF(OR(A145="",B145="",C145="",G145=""),"",SUMIFS(EVENTS!$G$5:$G$204,EVENTS!$A$5:$A$204,A145,EVENTS!$B$5:$B$204,B145,EVENTS!$C$5:$C$204,C145,EVENTS!$H$5:$H$204,G145))</f>
        <v/>
      </c>
      <c r="K145" s="63" t="str">
        <f>IF(J145="","",MAX(0,1-J145/IF(PASSDOWN!$U$2="",720,PASSDOWN!$U$2)))</f>
        <v/>
      </c>
      <c r="L145" s="63" t="str">
        <f>IFERROR(INDEX(PASSDOWN!$G$11:$G$15,MATCH(C145,PASSDOWN!$A$11:$A$15,0)),"")</f>
        <v/>
      </c>
      <c r="M145" s="64" t="str">
        <f t="shared" si="4"/>
        <v/>
      </c>
      <c r="N145" s="62" t="str">
        <f t="shared" si="5"/>
        <v/>
      </c>
    </row>
    <row r="146" spans="1:14" ht="15" customHeight="1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2" t="str">
        <f>IF(OR(A146="",B146="",C146="",G146=""),"",SUMIFS(EVENTS!$G$5:$G$204,EVENTS!$A$5:$A$204,A146,EVENTS!$B$5:$B$204,B146,EVENTS!$C$5:$C$204,C146,EVENTS!$H$5:$H$204,G146))</f>
        <v/>
      </c>
      <c r="K146" s="63" t="str">
        <f>IF(J146="","",MAX(0,1-J146/IF(PASSDOWN!$U$2="",720,PASSDOWN!$U$2)))</f>
        <v/>
      </c>
      <c r="L146" s="63" t="str">
        <f>IFERROR(INDEX(PASSDOWN!$G$11:$G$15,MATCH(C146,PASSDOWN!$A$11:$A$15,0)),"")</f>
        <v/>
      </c>
      <c r="M146" s="64" t="str">
        <f t="shared" si="4"/>
        <v/>
      </c>
      <c r="N146" s="62" t="str">
        <f t="shared" si="5"/>
        <v/>
      </c>
    </row>
    <row r="147" spans="1:14" ht="15" customHeight="1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2" t="str">
        <f>IF(OR(A147="",B147="",C147="",G147=""),"",SUMIFS(EVENTS!$G$5:$G$204,EVENTS!$A$5:$A$204,A147,EVENTS!$B$5:$B$204,B147,EVENTS!$C$5:$C$204,C147,EVENTS!$H$5:$H$204,G147))</f>
        <v/>
      </c>
      <c r="K147" s="63" t="str">
        <f>IF(J147="","",MAX(0,1-J147/IF(PASSDOWN!$U$2="",720,PASSDOWN!$U$2)))</f>
        <v/>
      </c>
      <c r="L147" s="63" t="str">
        <f>IFERROR(INDEX(PASSDOWN!$G$11:$G$15,MATCH(C147,PASSDOWN!$A$11:$A$15,0)),"")</f>
        <v/>
      </c>
      <c r="M147" s="64" t="str">
        <f t="shared" si="4"/>
        <v/>
      </c>
      <c r="N147" s="62" t="str">
        <f t="shared" si="5"/>
        <v/>
      </c>
    </row>
    <row r="148" spans="1:14" ht="15" customHeight="1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2" t="str">
        <f>IF(OR(A148="",B148="",C148="",G148=""),"",SUMIFS(EVENTS!$G$5:$G$204,EVENTS!$A$5:$A$204,A148,EVENTS!$B$5:$B$204,B148,EVENTS!$C$5:$C$204,C148,EVENTS!$H$5:$H$204,G148))</f>
        <v/>
      </c>
      <c r="K148" s="63" t="str">
        <f>IF(J148="","",MAX(0,1-J148/IF(PASSDOWN!$U$2="",720,PASSDOWN!$U$2)))</f>
        <v/>
      </c>
      <c r="L148" s="63" t="str">
        <f>IFERROR(INDEX(PASSDOWN!$G$11:$G$15,MATCH(C148,PASSDOWN!$A$11:$A$15,0)),"")</f>
        <v/>
      </c>
      <c r="M148" s="64" t="str">
        <f t="shared" si="4"/>
        <v/>
      </c>
      <c r="N148" s="62" t="str">
        <f t="shared" si="5"/>
        <v/>
      </c>
    </row>
    <row r="149" spans="1:14" ht="15" customHeight="1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2" t="str">
        <f>IF(OR(A149="",B149="",C149="",G149=""),"",SUMIFS(EVENTS!$G$5:$G$204,EVENTS!$A$5:$A$204,A149,EVENTS!$B$5:$B$204,B149,EVENTS!$C$5:$C$204,C149,EVENTS!$H$5:$H$204,G149))</f>
        <v/>
      </c>
      <c r="K149" s="63" t="str">
        <f>IF(J149="","",MAX(0,1-J149/IF(PASSDOWN!$U$2="",720,PASSDOWN!$U$2)))</f>
        <v/>
      </c>
      <c r="L149" s="63" t="str">
        <f>IFERROR(INDEX(PASSDOWN!$G$11:$G$15,MATCH(C149,PASSDOWN!$A$11:$A$15,0)),"")</f>
        <v/>
      </c>
      <c r="M149" s="64" t="str">
        <f t="shared" si="4"/>
        <v/>
      </c>
      <c r="N149" s="62" t="str">
        <f t="shared" si="5"/>
        <v/>
      </c>
    </row>
    <row r="150" spans="1:14" ht="15" customHeight="1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2" t="str">
        <f>IF(OR(A150="",B150="",C150="",G150=""),"",SUMIFS(EVENTS!$G$5:$G$204,EVENTS!$A$5:$A$204,A150,EVENTS!$B$5:$B$204,B150,EVENTS!$C$5:$C$204,C150,EVENTS!$H$5:$H$204,G150))</f>
        <v/>
      </c>
      <c r="K150" s="63" t="str">
        <f>IF(J150="","",MAX(0,1-J150/IF(PASSDOWN!$U$2="",720,PASSDOWN!$U$2)))</f>
        <v/>
      </c>
      <c r="L150" s="63" t="str">
        <f>IFERROR(INDEX(PASSDOWN!$G$11:$G$15,MATCH(C150,PASSDOWN!$A$11:$A$15,0)),"")</f>
        <v/>
      </c>
      <c r="M150" s="64" t="str">
        <f t="shared" si="4"/>
        <v/>
      </c>
      <c r="N150" s="62" t="str">
        <f t="shared" si="5"/>
        <v/>
      </c>
    </row>
    <row r="151" spans="1:14" ht="15" customHeight="1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2" t="str">
        <f>IF(OR(A151="",B151="",C151="",G151=""),"",SUMIFS(EVENTS!$G$5:$G$204,EVENTS!$A$5:$A$204,A151,EVENTS!$B$5:$B$204,B151,EVENTS!$C$5:$C$204,C151,EVENTS!$H$5:$H$204,G151))</f>
        <v/>
      </c>
      <c r="K151" s="63" t="str">
        <f>IF(J151="","",MAX(0,1-J151/IF(PASSDOWN!$U$2="",720,PASSDOWN!$U$2)))</f>
        <v/>
      </c>
      <c r="L151" s="63" t="str">
        <f>IFERROR(INDEX(PASSDOWN!$G$11:$G$15,MATCH(C151,PASSDOWN!$A$11:$A$15,0)),"")</f>
        <v/>
      </c>
      <c r="M151" s="64" t="str">
        <f t="shared" si="4"/>
        <v/>
      </c>
      <c r="N151" s="62" t="str">
        <f t="shared" si="5"/>
        <v/>
      </c>
    </row>
    <row r="152" spans="1:14" ht="15" customHeight="1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2" t="str">
        <f>IF(OR(A152="",B152="",C152="",G152=""),"",SUMIFS(EVENTS!$G$5:$G$204,EVENTS!$A$5:$A$204,A152,EVENTS!$B$5:$B$204,B152,EVENTS!$C$5:$C$204,C152,EVENTS!$H$5:$H$204,G152))</f>
        <v/>
      </c>
      <c r="K152" s="63" t="str">
        <f>IF(J152="","",MAX(0,1-J152/IF(PASSDOWN!$U$2="",720,PASSDOWN!$U$2)))</f>
        <v/>
      </c>
      <c r="L152" s="63" t="str">
        <f>IFERROR(INDEX(PASSDOWN!$G$11:$G$15,MATCH(C152,PASSDOWN!$A$11:$A$15,0)),"")</f>
        <v/>
      </c>
      <c r="M152" s="64" t="str">
        <f t="shared" si="4"/>
        <v/>
      </c>
      <c r="N152" s="62" t="str">
        <f t="shared" si="5"/>
        <v/>
      </c>
    </row>
    <row r="153" spans="1:14" ht="15" customHeight="1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2" t="str">
        <f>IF(OR(A153="",B153="",C153="",G153=""),"",SUMIFS(EVENTS!$G$5:$G$204,EVENTS!$A$5:$A$204,A153,EVENTS!$B$5:$B$204,B153,EVENTS!$C$5:$C$204,C153,EVENTS!$H$5:$H$204,G153))</f>
        <v/>
      </c>
      <c r="K153" s="63" t="str">
        <f>IF(J153="","",MAX(0,1-J153/IF(PASSDOWN!$U$2="",720,PASSDOWN!$U$2)))</f>
        <v/>
      </c>
      <c r="L153" s="63" t="str">
        <f>IFERROR(INDEX(PASSDOWN!$G$11:$G$15,MATCH(C153,PASSDOWN!$A$11:$A$15,0)),"")</f>
        <v/>
      </c>
      <c r="M153" s="64" t="str">
        <f t="shared" si="4"/>
        <v/>
      </c>
      <c r="N153" s="62" t="str">
        <f t="shared" si="5"/>
        <v/>
      </c>
    </row>
    <row r="154" spans="1:14" ht="15" customHeight="1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2" t="str">
        <f>IF(OR(A154="",B154="",C154="",G154=""),"",SUMIFS(EVENTS!$G$5:$G$204,EVENTS!$A$5:$A$204,A154,EVENTS!$B$5:$B$204,B154,EVENTS!$C$5:$C$204,C154,EVENTS!$H$5:$H$204,G154))</f>
        <v/>
      </c>
      <c r="K154" s="63" t="str">
        <f>IF(J154="","",MAX(0,1-J154/IF(PASSDOWN!$U$2="",720,PASSDOWN!$U$2)))</f>
        <v/>
      </c>
      <c r="L154" s="63" t="str">
        <f>IFERROR(INDEX(PASSDOWN!$G$11:$G$15,MATCH(C154,PASSDOWN!$A$11:$A$15,0)),"")</f>
        <v/>
      </c>
      <c r="M154" s="64" t="str">
        <f t="shared" si="4"/>
        <v/>
      </c>
      <c r="N154" s="62" t="str">
        <f t="shared" si="5"/>
        <v/>
      </c>
    </row>
    <row r="155" spans="1:14" ht="15" customHeight="1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2" t="str">
        <f>IF(OR(A155="",B155="",C155="",G155=""),"",SUMIFS(EVENTS!$G$5:$G$204,EVENTS!$A$5:$A$204,A155,EVENTS!$B$5:$B$204,B155,EVENTS!$C$5:$C$204,C155,EVENTS!$H$5:$H$204,G155))</f>
        <v/>
      </c>
      <c r="K155" s="63" t="str">
        <f>IF(J155="","",MAX(0,1-J155/IF(PASSDOWN!$U$2="",720,PASSDOWN!$U$2)))</f>
        <v/>
      </c>
      <c r="L155" s="63" t="str">
        <f>IFERROR(INDEX(PASSDOWN!$G$11:$G$15,MATCH(C155,PASSDOWN!$A$11:$A$15,0)),"")</f>
        <v/>
      </c>
      <c r="M155" s="64" t="str">
        <f t="shared" si="4"/>
        <v/>
      </c>
      <c r="N155" s="62" t="str">
        <f t="shared" si="5"/>
        <v/>
      </c>
    </row>
    <row r="156" spans="1:14" ht="15" customHeight="1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2" t="str">
        <f>IF(OR(A156="",B156="",C156="",G156=""),"",SUMIFS(EVENTS!$G$5:$G$204,EVENTS!$A$5:$A$204,A156,EVENTS!$B$5:$B$204,B156,EVENTS!$C$5:$C$204,C156,EVENTS!$H$5:$H$204,G156))</f>
        <v/>
      </c>
      <c r="K156" s="63" t="str">
        <f>IF(J156="","",MAX(0,1-J156/IF(PASSDOWN!$U$2="",720,PASSDOWN!$U$2)))</f>
        <v/>
      </c>
      <c r="L156" s="63" t="str">
        <f>IFERROR(INDEX(PASSDOWN!$G$11:$G$15,MATCH(C156,PASSDOWN!$A$11:$A$15,0)),"")</f>
        <v/>
      </c>
      <c r="M156" s="64" t="str">
        <f t="shared" si="4"/>
        <v/>
      </c>
      <c r="N156" s="62" t="str">
        <f t="shared" si="5"/>
        <v/>
      </c>
    </row>
    <row r="157" spans="1:14" ht="15" customHeight="1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2" t="str">
        <f>IF(OR(A157="",B157="",C157="",G157=""),"",SUMIFS(EVENTS!$G$5:$G$204,EVENTS!$A$5:$A$204,A157,EVENTS!$B$5:$B$204,B157,EVENTS!$C$5:$C$204,C157,EVENTS!$H$5:$H$204,G157))</f>
        <v/>
      </c>
      <c r="K157" s="63" t="str">
        <f>IF(J157="","",MAX(0,1-J157/IF(PASSDOWN!$U$2="",720,PASSDOWN!$U$2)))</f>
        <v/>
      </c>
      <c r="L157" s="63" t="str">
        <f>IFERROR(INDEX(PASSDOWN!$G$11:$G$15,MATCH(C157,PASSDOWN!$A$11:$A$15,0)),"")</f>
        <v/>
      </c>
      <c r="M157" s="64" t="str">
        <f t="shared" si="4"/>
        <v/>
      </c>
      <c r="N157" s="62" t="str">
        <f t="shared" si="5"/>
        <v/>
      </c>
    </row>
    <row r="158" spans="1:14" ht="15" customHeight="1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2" t="str">
        <f>IF(OR(A158="",B158="",C158="",G158=""),"",SUMIFS(EVENTS!$G$5:$G$204,EVENTS!$A$5:$A$204,A158,EVENTS!$B$5:$B$204,B158,EVENTS!$C$5:$C$204,C158,EVENTS!$H$5:$H$204,G158))</f>
        <v/>
      </c>
      <c r="K158" s="63" t="str">
        <f>IF(J158="","",MAX(0,1-J158/IF(PASSDOWN!$U$2="",720,PASSDOWN!$U$2)))</f>
        <v/>
      </c>
      <c r="L158" s="63" t="str">
        <f>IFERROR(INDEX(PASSDOWN!$G$11:$G$15,MATCH(C158,PASSDOWN!$A$11:$A$15,0)),"")</f>
        <v/>
      </c>
      <c r="M158" s="64" t="str">
        <f t="shared" si="4"/>
        <v/>
      </c>
      <c r="N158" s="62" t="str">
        <f t="shared" si="5"/>
        <v/>
      </c>
    </row>
    <row r="159" spans="1:14" ht="15" customHeight="1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2" t="str">
        <f>IF(OR(A159="",B159="",C159="",G159=""),"",SUMIFS(EVENTS!$G$5:$G$204,EVENTS!$A$5:$A$204,A159,EVENTS!$B$5:$B$204,B159,EVENTS!$C$5:$C$204,C159,EVENTS!$H$5:$H$204,G159))</f>
        <v/>
      </c>
      <c r="K159" s="63" t="str">
        <f>IF(J159="","",MAX(0,1-J159/IF(PASSDOWN!$U$2="",720,PASSDOWN!$U$2)))</f>
        <v/>
      </c>
      <c r="L159" s="63" t="str">
        <f>IFERROR(INDEX(PASSDOWN!$G$11:$G$15,MATCH(C159,PASSDOWN!$A$11:$A$15,0)),"")</f>
        <v/>
      </c>
      <c r="M159" s="64" t="str">
        <f t="shared" si="4"/>
        <v/>
      </c>
      <c r="N159" s="62" t="str">
        <f t="shared" si="5"/>
        <v/>
      </c>
    </row>
    <row r="160" spans="1:14" ht="15" customHeight="1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2" t="str">
        <f>IF(OR(A160="",B160="",C160="",G160=""),"",SUMIFS(EVENTS!$G$5:$G$204,EVENTS!$A$5:$A$204,A160,EVENTS!$B$5:$B$204,B160,EVENTS!$C$5:$C$204,C160,EVENTS!$H$5:$H$204,G160))</f>
        <v/>
      </c>
      <c r="K160" s="63" t="str">
        <f>IF(J160="","",MAX(0,1-J160/IF(PASSDOWN!$U$2="",720,PASSDOWN!$U$2)))</f>
        <v/>
      </c>
      <c r="L160" s="63" t="str">
        <f>IFERROR(INDEX(PASSDOWN!$G$11:$G$15,MATCH(C160,PASSDOWN!$A$11:$A$15,0)),"")</f>
        <v/>
      </c>
      <c r="M160" s="64" t="str">
        <f t="shared" si="4"/>
        <v/>
      </c>
      <c r="N160" s="62" t="str">
        <f t="shared" si="5"/>
        <v/>
      </c>
    </row>
    <row r="161" spans="1:14" ht="15" customHeight="1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2" t="str">
        <f>IF(OR(A161="",B161="",C161="",G161=""),"",SUMIFS(EVENTS!$G$5:$G$204,EVENTS!$A$5:$A$204,A161,EVENTS!$B$5:$B$204,B161,EVENTS!$C$5:$C$204,C161,EVENTS!$H$5:$H$204,G161))</f>
        <v/>
      </c>
      <c r="K161" s="63" t="str">
        <f>IF(J161="","",MAX(0,1-J161/IF(PASSDOWN!$U$2="",720,PASSDOWN!$U$2)))</f>
        <v/>
      </c>
      <c r="L161" s="63" t="str">
        <f>IFERROR(INDEX(PASSDOWN!$G$11:$G$15,MATCH(C161,PASSDOWN!$A$11:$A$15,0)),"")</f>
        <v/>
      </c>
      <c r="M161" s="64" t="str">
        <f t="shared" si="4"/>
        <v/>
      </c>
      <c r="N161" s="62" t="str">
        <f t="shared" si="5"/>
        <v/>
      </c>
    </row>
    <row r="162" spans="1:14" ht="15" customHeight="1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2" t="str">
        <f>IF(OR(A162="",B162="",C162="",G162=""),"",SUMIFS(EVENTS!$G$5:$G$204,EVENTS!$A$5:$A$204,A162,EVENTS!$B$5:$B$204,B162,EVENTS!$C$5:$C$204,C162,EVENTS!$H$5:$H$204,G162))</f>
        <v/>
      </c>
      <c r="K162" s="63" t="str">
        <f>IF(J162="","",MAX(0,1-J162/IF(PASSDOWN!$U$2="",720,PASSDOWN!$U$2)))</f>
        <v/>
      </c>
      <c r="L162" s="63" t="str">
        <f>IFERROR(INDEX(PASSDOWN!$G$11:$G$15,MATCH(C162,PASSDOWN!$A$11:$A$15,0)),"")</f>
        <v/>
      </c>
      <c r="M162" s="64" t="str">
        <f t="shared" si="4"/>
        <v/>
      </c>
      <c r="N162" s="62" t="str">
        <f t="shared" si="5"/>
        <v/>
      </c>
    </row>
    <row r="163" spans="1:14" ht="15" customHeight="1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2" t="str">
        <f>IF(OR(A163="",B163="",C163="",G163=""),"",SUMIFS(EVENTS!$G$5:$G$204,EVENTS!$A$5:$A$204,A163,EVENTS!$B$5:$B$204,B163,EVENTS!$C$5:$C$204,C163,EVENTS!$H$5:$H$204,G163))</f>
        <v/>
      </c>
      <c r="K163" s="63" t="str">
        <f>IF(J163="","",MAX(0,1-J163/IF(PASSDOWN!$U$2="",720,PASSDOWN!$U$2)))</f>
        <v/>
      </c>
      <c r="L163" s="63" t="str">
        <f>IFERROR(INDEX(PASSDOWN!$G$11:$G$15,MATCH(C163,PASSDOWN!$A$11:$A$15,0)),"")</f>
        <v/>
      </c>
      <c r="M163" s="64" t="str">
        <f t="shared" si="4"/>
        <v/>
      </c>
      <c r="N163" s="62" t="str">
        <f t="shared" si="5"/>
        <v/>
      </c>
    </row>
    <row r="164" spans="1:14" ht="15" customHeight="1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2" t="str">
        <f>IF(OR(A164="",B164="",C164="",G164=""),"",SUMIFS(EVENTS!$G$5:$G$204,EVENTS!$A$5:$A$204,A164,EVENTS!$B$5:$B$204,B164,EVENTS!$C$5:$C$204,C164,EVENTS!$H$5:$H$204,G164))</f>
        <v/>
      </c>
      <c r="K164" s="63" t="str">
        <f>IF(J164="","",MAX(0,1-J164/IF(PASSDOWN!$U$2="",720,PASSDOWN!$U$2)))</f>
        <v/>
      </c>
      <c r="L164" s="63" t="str">
        <f>IFERROR(INDEX(PASSDOWN!$G$11:$G$15,MATCH(C164,PASSDOWN!$A$11:$A$15,0)),"")</f>
        <v/>
      </c>
      <c r="M164" s="64" t="str">
        <f t="shared" si="4"/>
        <v/>
      </c>
      <c r="N164" s="62" t="str">
        <f t="shared" si="5"/>
        <v/>
      </c>
    </row>
    <row r="165" spans="1:14" ht="15" customHeight="1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2" t="str">
        <f>IF(OR(A165="",B165="",C165="",G165=""),"",SUMIFS(EVENTS!$G$5:$G$204,EVENTS!$A$5:$A$204,A165,EVENTS!$B$5:$B$204,B165,EVENTS!$C$5:$C$204,C165,EVENTS!$H$5:$H$204,G165))</f>
        <v/>
      </c>
      <c r="K165" s="63" t="str">
        <f>IF(J165="","",MAX(0,1-J165/IF(PASSDOWN!$U$2="",720,PASSDOWN!$U$2)))</f>
        <v/>
      </c>
      <c r="L165" s="63" t="str">
        <f>IFERROR(INDEX(PASSDOWN!$G$11:$G$15,MATCH(C165,PASSDOWN!$A$11:$A$15,0)),"")</f>
        <v/>
      </c>
      <c r="M165" s="64" t="str">
        <f t="shared" si="4"/>
        <v/>
      </c>
      <c r="N165" s="62" t="str">
        <f t="shared" si="5"/>
        <v/>
      </c>
    </row>
    <row r="166" spans="1:14" ht="15" customHeight="1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2" t="str">
        <f>IF(OR(A166="",B166="",C166="",G166=""),"",SUMIFS(EVENTS!$G$5:$G$204,EVENTS!$A$5:$A$204,A166,EVENTS!$B$5:$B$204,B166,EVENTS!$C$5:$C$204,C166,EVENTS!$H$5:$H$204,G166))</f>
        <v/>
      </c>
      <c r="K166" s="63" t="str">
        <f>IF(J166="","",MAX(0,1-J166/IF(PASSDOWN!$U$2="",720,PASSDOWN!$U$2)))</f>
        <v/>
      </c>
      <c r="L166" s="63" t="str">
        <f>IFERROR(INDEX(PASSDOWN!$G$11:$G$15,MATCH(C166,PASSDOWN!$A$11:$A$15,0)),"")</f>
        <v/>
      </c>
      <c r="M166" s="64" t="str">
        <f t="shared" si="4"/>
        <v/>
      </c>
      <c r="N166" s="62" t="str">
        <f t="shared" si="5"/>
        <v/>
      </c>
    </row>
    <row r="167" spans="1:14" ht="15" customHeight="1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2" t="str">
        <f>IF(OR(A167="",B167="",C167="",G167=""),"",SUMIFS(EVENTS!$G$5:$G$204,EVENTS!$A$5:$A$204,A167,EVENTS!$B$5:$B$204,B167,EVENTS!$C$5:$C$204,C167,EVENTS!$H$5:$H$204,G167))</f>
        <v/>
      </c>
      <c r="K167" s="63" t="str">
        <f>IF(J167="","",MAX(0,1-J167/IF(PASSDOWN!$U$2="",720,PASSDOWN!$U$2)))</f>
        <v/>
      </c>
      <c r="L167" s="63" t="str">
        <f>IFERROR(INDEX(PASSDOWN!$G$11:$G$15,MATCH(C167,PASSDOWN!$A$11:$A$15,0)),"")</f>
        <v/>
      </c>
      <c r="M167" s="64" t="str">
        <f t="shared" si="4"/>
        <v/>
      </c>
      <c r="N167" s="62" t="str">
        <f t="shared" si="5"/>
        <v/>
      </c>
    </row>
    <row r="168" spans="1:14" ht="15" customHeight="1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2" t="str">
        <f>IF(OR(A168="",B168="",C168="",G168=""),"",SUMIFS(EVENTS!$G$5:$G$204,EVENTS!$A$5:$A$204,A168,EVENTS!$B$5:$B$204,B168,EVENTS!$C$5:$C$204,C168,EVENTS!$H$5:$H$204,G168))</f>
        <v/>
      </c>
      <c r="K168" s="63" t="str">
        <f>IF(J168="","",MAX(0,1-J168/IF(PASSDOWN!$U$2="",720,PASSDOWN!$U$2)))</f>
        <v/>
      </c>
      <c r="L168" s="63" t="str">
        <f>IFERROR(INDEX(PASSDOWN!$G$11:$G$15,MATCH(C168,PASSDOWN!$A$11:$A$15,0)),"")</f>
        <v/>
      </c>
      <c r="M168" s="64" t="str">
        <f t="shared" si="4"/>
        <v/>
      </c>
      <c r="N168" s="62" t="str">
        <f t="shared" si="5"/>
        <v/>
      </c>
    </row>
    <row r="169" spans="1:14" ht="15" customHeight="1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2" t="str">
        <f>IF(OR(A169="",B169="",C169="",G169=""),"",SUMIFS(EVENTS!$G$5:$G$204,EVENTS!$A$5:$A$204,A169,EVENTS!$B$5:$B$204,B169,EVENTS!$C$5:$C$204,C169,EVENTS!$H$5:$H$204,G169))</f>
        <v/>
      </c>
      <c r="K169" s="63" t="str">
        <f>IF(J169="","",MAX(0,1-J169/IF(PASSDOWN!$U$2="",720,PASSDOWN!$U$2)))</f>
        <v/>
      </c>
      <c r="L169" s="63" t="str">
        <f>IFERROR(INDEX(PASSDOWN!$G$11:$G$15,MATCH(C169,PASSDOWN!$A$11:$A$15,0)),"")</f>
        <v/>
      </c>
      <c r="M169" s="64" t="str">
        <f t="shared" si="4"/>
        <v/>
      </c>
      <c r="N169" s="62" t="str">
        <f t="shared" si="5"/>
        <v/>
      </c>
    </row>
    <row r="170" spans="1:14" ht="15" customHeight="1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2" t="str">
        <f>IF(OR(A170="",B170="",C170="",G170=""),"",SUMIFS(EVENTS!$G$5:$G$204,EVENTS!$A$5:$A$204,A170,EVENTS!$B$5:$B$204,B170,EVENTS!$C$5:$C$204,C170,EVENTS!$H$5:$H$204,G170))</f>
        <v/>
      </c>
      <c r="K170" s="63" t="str">
        <f>IF(J170="","",MAX(0,1-J170/IF(PASSDOWN!$U$2="",720,PASSDOWN!$U$2)))</f>
        <v/>
      </c>
      <c r="L170" s="63" t="str">
        <f>IFERROR(INDEX(PASSDOWN!$G$11:$G$15,MATCH(C170,PASSDOWN!$A$11:$A$15,0)),"")</f>
        <v/>
      </c>
      <c r="M170" s="64" t="str">
        <f t="shared" si="4"/>
        <v/>
      </c>
      <c r="N170" s="62" t="str">
        <f t="shared" si="5"/>
        <v/>
      </c>
    </row>
    <row r="171" spans="1:14" ht="15" customHeight="1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2" t="str">
        <f>IF(OR(A171="",B171="",C171="",G171=""),"",SUMIFS(EVENTS!$G$5:$G$204,EVENTS!$A$5:$A$204,A171,EVENTS!$B$5:$B$204,B171,EVENTS!$C$5:$C$204,C171,EVENTS!$H$5:$H$204,G171))</f>
        <v/>
      </c>
      <c r="K171" s="63" t="str">
        <f>IF(J171="","",MAX(0,1-J171/IF(PASSDOWN!$U$2="",720,PASSDOWN!$U$2)))</f>
        <v/>
      </c>
      <c r="L171" s="63" t="str">
        <f>IFERROR(INDEX(PASSDOWN!$G$11:$G$15,MATCH(C171,PASSDOWN!$A$11:$A$15,0)),"")</f>
        <v/>
      </c>
      <c r="M171" s="64" t="str">
        <f t="shared" si="4"/>
        <v/>
      </c>
      <c r="N171" s="62" t="str">
        <f t="shared" si="5"/>
        <v/>
      </c>
    </row>
    <row r="172" spans="1:14" ht="15" customHeight="1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2" t="str">
        <f>IF(OR(A172="",B172="",C172="",G172=""),"",SUMIFS(EVENTS!$G$5:$G$204,EVENTS!$A$5:$A$204,A172,EVENTS!$B$5:$B$204,B172,EVENTS!$C$5:$C$204,C172,EVENTS!$H$5:$H$204,G172))</f>
        <v/>
      </c>
      <c r="K172" s="63" t="str">
        <f>IF(J172="","",MAX(0,1-J172/IF(PASSDOWN!$U$2="",720,PASSDOWN!$U$2)))</f>
        <v/>
      </c>
      <c r="L172" s="63" t="str">
        <f>IFERROR(INDEX(PASSDOWN!$G$11:$G$15,MATCH(C172,PASSDOWN!$A$11:$A$15,0)),"")</f>
        <v/>
      </c>
      <c r="M172" s="64" t="str">
        <f t="shared" si="4"/>
        <v/>
      </c>
      <c r="N172" s="62" t="str">
        <f t="shared" si="5"/>
        <v/>
      </c>
    </row>
    <row r="173" spans="1:14" ht="15" customHeight="1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2" t="str">
        <f>IF(OR(A173="",B173="",C173="",G173=""),"",SUMIFS(EVENTS!$G$5:$G$204,EVENTS!$A$5:$A$204,A173,EVENTS!$B$5:$B$204,B173,EVENTS!$C$5:$C$204,C173,EVENTS!$H$5:$H$204,G173))</f>
        <v/>
      </c>
      <c r="K173" s="63" t="str">
        <f>IF(J173="","",MAX(0,1-J173/IF(PASSDOWN!$U$2="",720,PASSDOWN!$U$2)))</f>
        <v/>
      </c>
      <c r="L173" s="63" t="str">
        <f>IFERROR(INDEX(PASSDOWN!$G$11:$G$15,MATCH(C173,PASSDOWN!$A$11:$A$15,0)),"")</f>
        <v/>
      </c>
      <c r="M173" s="64" t="str">
        <f t="shared" si="4"/>
        <v/>
      </c>
      <c r="N173" s="62" t="str">
        <f t="shared" si="5"/>
        <v/>
      </c>
    </row>
    <row r="174" spans="1:14" ht="15" customHeight="1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2" t="str">
        <f>IF(OR(A174="",B174="",C174="",G174=""),"",SUMIFS(EVENTS!$G$5:$G$204,EVENTS!$A$5:$A$204,A174,EVENTS!$B$5:$B$204,B174,EVENTS!$C$5:$C$204,C174,EVENTS!$H$5:$H$204,G174))</f>
        <v/>
      </c>
      <c r="K174" s="63" t="str">
        <f>IF(J174="","",MAX(0,1-J174/IF(PASSDOWN!$U$2="",720,PASSDOWN!$U$2)))</f>
        <v/>
      </c>
      <c r="L174" s="63" t="str">
        <f>IFERROR(INDEX(PASSDOWN!$G$11:$G$15,MATCH(C174,PASSDOWN!$A$11:$A$15,0)),"")</f>
        <v/>
      </c>
      <c r="M174" s="64" t="str">
        <f t="shared" si="4"/>
        <v/>
      </c>
      <c r="N174" s="62" t="str">
        <f t="shared" si="5"/>
        <v/>
      </c>
    </row>
    <row r="175" spans="1:14" ht="15" customHeight="1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2" t="str">
        <f>IF(OR(A175="",B175="",C175="",G175=""),"",SUMIFS(EVENTS!$G$5:$G$204,EVENTS!$A$5:$A$204,A175,EVENTS!$B$5:$B$204,B175,EVENTS!$C$5:$C$204,C175,EVENTS!$H$5:$H$204,G175))</f>
        <v/>
      </c>
      <c r="K175" s="63" t="str">
        <f>IF(J175="","",MAX(0,1-J175/IF(PASSDOWN!$U$2="",720,PASSDOWN!$U$2)))</f>
        <v/>
      </c>
      <c r="L175" s="63" t="str">
        <f>IFERROR(INDEX(PASSDOWN!$G$11:$G$15,MATCH(C175,PASSDOWN!$A$11:$A$15,0)),"")</f>
        <v/>
      </c>
      <c r="M175" s="64" t="str">
        <f t="shared" si="4"/>
        <v/>
      </c>
      <c r="N175" s="62" t="str">
        <f t="shared" si="5"/>
        <v/>
      </c>
    </row>
    <row r="176" spans="1:14" ht="15" customHeight="1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2" t="str">
        <f>IF(OR(A176="",B176="",C176="",G176=""),"",SUMIFS(EVENTS!$G$5:$G$204,EVENTS!$A$5:$A$204,A176,EVENTS!$B$5:$B$204,B176,EVENTS!$C$5:$C$204,C176,EVENTS!$H$5:$H$204,G176))</f>
        <v/>
      </c>
      <c r="K176" s="63" t="str">
        <f>IF(J176="","",MAX(0,1-J176/IF(PASSDOWN!$U$2="",720,PASSDOWN!$U$2)))</f>
        <v/>
      </c>
      <c r="L176" s="63" t="str">
        <f>IFERROR(INDEX(PASSDOWN!$G$11:$G$15,MATCH(C176,PASSDOWN!$A$11:$A$15,0)),"")</f>
        <v/>
      </c>
      <c r="M176" s="64" t="str">
        <f t="shared" si="4"/>
        <v/>
      </c>
      <c r="N176" s="62" t="str">
        <f t="shared" si="5"/>
        <v/>
      </c>
    </row>
    <row r="177" spans="1:14" ht="15" customHeight="1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2" t="str">
        <f>IF(OR(A177="",B177="",C177="",G177=""),"",SUMIFS(EVENTS!$G$5:$G$204,EVENTS!$A$5:$A$204,A177,EVENTS!$B$5:$B$204,B177,EVENTS!$C$5:$C$204,C177,EVENTS!$H$5:$H$204,G177))</f>
        <v/>
      </c>
      <c r="K177" s="63" t="str">
        <f>IF(J177="","",MAX(0,1-J177/IF(PASSDOWN!$U$2="",720,PASSDOWN!$U$2)))</f>
        <v/>
      </c>
      <c r="L177" s="63" t="str">
        <f>IFERROR(INDEX(PASSDOWN!$G$11:$G$15,MATCH(C177,PASSDOWN!$A$11:$A$15,0)),"")</f>
        <v/>
      </c>
      <c r="M177" s="64" t="str">
        <f t="shared" si="4"/>
        <v/>
      </c>
      <c r="N177" s="62" t="str">
        <f t="shared" si="5"/>
        <v/>
      </c>
    </row>
    <row r="178" spans="1:14" ht="15" customHeight="1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2" t="str">
        <f>IF(OR(A178="",B178="",C178="",G178=""),"",SUMIFS(EVENTS!$G$5:$G$204,EVENTS!$A$5:$A$204,A178,EVENTS!$B$5:$B$204,B178,EVENTS!$C$5:$C$204,C178,EVENTS!$H$5:$H$204,G178))</f>
        <v/>
      </c>
      <c r="K178" s="63" t="str">
        <f>IF(J178="","",MAX(0,1-J178/IF(PASSDOWN!$U$2="",720,PASSDOWN!$U$2)))</f>
        <v/>
      </c>
      <c r="L178" s="63" t="str">
        <f>IFERROR(INDEX(PASSDOWN!$G$11:$G$15,MATCH(C178,PASSDOWN!$A$11:$A$15,0)),"")</f>
        <v/>
      </c>
      <c r="M178" s="64" t="str">
        <f t="shared" si="4"/>
        <v/>
      </c>
      <c r="N178" s="62" t="str">
        <f t="shared" si="5"/>
        <v/>
      </c>
    </row>
    <row r="179" spans="1:14" ht="15" customHeight="1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2" t="str">
        <f>IF(OR(A179="",B179="",C179="",G179=""),"",SUMIFS(EVENTS!$G$5:$G$204,EVENTS!$A$5:$A$204,A179,EVENTS!$B$5:$B$204,B179,EVENTS!$C$5:$C$204,C179,EVENTS!$H$5:$H$204,G179))</f>
        <v/>
      </c>
      <c r="K179" s="63" t="str">
        <f>IF(J179="","",MAX(0,1-J179/IF(PASSDOWN!$U$2="",720,PASSDOWN!$U$2)))</f>
        <v/>
      </c>
      <c r="L179" s="63" t="str">
        <f>IFERROR(INDEX(PASSDOWN!$G$11:$G$15,MATCH(C179,PASSDOWN!$A$11:$A$15,0)),"")</f>
        <v/>
      </c>
      <c r="M179" s="64" t="str">
        <f t="shared" si="4"/>
        <v/>
      </c>
      <c r="N179" s="62" t="str">
        <f t="shared" si="5"/>
        <v/>
      </c>
    </row>
    <row r="180" spans="1:14" ht="15" customHeight="1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2" t="str">
        <f>IF(OR(A180="",B180="",C180="",G180=""),"",SUMIFS(EVENTS!$G$5:$G$204,EVENTS!$A$5:$A$204,A180,EVENTS!$B$5:$B$204,B180,EVENTS!$C$5:$C$204,C180,EVENTS!$H$5:$H$204,G180))</f>
        <v/>
      </c>
      <c r="K180" s="63" t="str">
        <f>IF(J180="","",MAX(0,1-J180/IF(PASSDOWN!$U$2="",720,PASSDOWN!$U$2)))</f>
        <v/>
      </c>
      <c r="L180" s="63" t="str">
        <f>IFERROR(INDEX(PASSDOWN!$G$11:$G$15,MATCH(C180,PASSDOWN!$A$11:$A$15,0)),"")</f>
        <v/>
      </c>
      <c r="M180" s="64" t="str">
        <f t="shared" si="4"/>
        <v/>
      </c>
      <c r="N180" s="62" t="str">
        <f t="shared" si="5"/>
        <v/>
      </c>
    </row>
    <row r="181" spans="1:14" ht="15" customHeight="1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2" t="str">
        <f>IF(OR(A181="",B181="",C181="",G181=""),"",SUMIFS(EVENTS!$G$5:$G$204,EVENTS!$A$5:$A$204,A181,EVENTS!$B$5:$B$204,B181,EVENTS!$C$5:$C$204,C181,EVENTS!$H$5:$H$204,G181))</f>
        <v/>
      </c>
      <c r="K181" s="63" t="str">
        <f>IF(J181="","",MAX(0,1-J181/IF(PASSDOWN!$U$2="",720,PASSDOWN!$U$2)))</f>
        <v/>
      </c>
      <c r="L181" s="63" t="str">
        <f>IFERROR(INDEX(PASSDOWN!$G$11:$G$15,MATCH(C181,PASSDOWN!$A$11:$A$15,0)),"")</f>
        <v/>
      </c>
      <c r="M181" s="64" t="str">
        <f t="shared" si="4"/>
        <v/>
      </c>
      <c r="N181" s="62" t="str">
        <f t="shared" si="5"/>
        <v/>
      </c>
    </row>
    <row r="182" spans="1:14" ht="15" customHeight="1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2" t="str">
        <f>IF(OR(A182="",B182="",C182="",G182=""),"",SUMIFS(EVENTS!$G$5:$G$204,EVENTS!$A$5:$A$204,A182,EVENTS!$B$5:$B$204,B182,EVENTS!$C$5:$C$204,C182,EVENTS!$H$5:$H$204,G182))</f>
        <v/>
      </c>
      <c r="K182" s="63" t="str">
        <f>IF(J182="","",MAX(0,1-J182/IF(PASSDOWN!$U$2="",720,PASSDOWN!$U$2)))</f>
        <v/>
      </c>
      <c r="L182" s="63" t="str">
        <f>IFERROR(INDEX(PASSDOWN!$G$11:$G$15,MATCH(C182,PASSDOWN!$A$11:$A$15,0)),"")</f>
        <v/>
      </c>
      <c r="M182" s="64" t="str">
        <f t="shared" si="4"/>
        <v/>
      </c>
      <c r="N182" s="62" t="str">
        <f t="shared" si="5"/>
        <v/>
      </c>
    </row>
    <row r="183" spans="1:14" ht="15" customHeight="1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2" t="str">
        <f>IF(OR(A183="",B183="",C183="",G183=""),"",SUMIFS(EVENTS!$G$5:$G$204,EVENTS!$A$5:$A$204,A183,EVENTS!$B$5:$B$204,B183,EVENTS!$C$5:$C$204,C183,EVENTS!$H$5:$H$204,G183))</f>
        <v/>
      </c>
      <c r="K183" s="63" t="str">
        <f>IF(J183="","",MAX(0,1-J183/IF(PASSDOWN!$U$2="",720,PASSDOWN!$U$2)))</f>
        <v/>
      </c>
      <c r="L183" s="63" t="str">
        <f>IFERROR(INDEX(PASSDOWN!$G$11:$G$15,MATCH(C183,PASSDOWN!$A$11:$A$15,0)),"")</f>
        <v/>
      </c>
      <c r="M183" s="64" t="str">
        <f t="shared" si="4"/>
        <v/>
      </c>
      <c r="N183" s="62" t="str">
        <f t="shared" si="5"/>
        <v/>
      </c>
    </row>
    <row r="184" spans="1:14" ht="15" customHeight="1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2" t="str">
        <f>IF(OR(A184="",B184="",C184="",G184=""),"",SUMIFS(EVENTS!$G$5:$G$204,EVENTS!$A$5:$A$204,A184,EVENTS!$B$5:$B$204,B184,EVENTS!$C$5:$C$204,C184,EVENTS!$H$5:$H$204,G184))</f>
        <v/>
      </c>
      <c r="K184" s="63" t="str">
        <f>IF(J184="","",MAX(0,1-J184/IF(PASSDOWN!$U$2="",720,PASSDOWN!$U$2)))</f>
        <v/>
      </c>
      <c r="L184" s="63" t="str">
        <f>IFERROR(INDEX(PASSDOWN!$G$11:$G$15,MATCH(C184,PASSDOWN!$A$11:$A$15,0)),"")</f>
        <v/>
      </c>
      <c r="M184" s="64" t="str">
        <f t="shared" si="4"/>
        <v/>
      </c>
      <c r="N184" s="62" t="str">
        <f t="shared" si="5"/>
        <v/>
      </c>
    </row>
    <row r="185" spans="1:14" ht="15" customHeight="1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2" t="str">
        <f>IF(OR(A185="",B185="",C185="",G185=""),"",SUMIFS(EVENTS!$G$5:$G$204,EVENTS!$A$5:$A$204,A185,EVENTS!$B$5:$B$204,B185,EVENTS!$C$5:$C$204,C185,EVENTS!$H$5:$H$204,G185))</f>
        <v/>
      </c>
      <c r="K185" s="63" t="str">
        <f>IF(J185="","",MAX(0,1-J185/IF(PASSDOWN!$U$2="",720,PASSDOWN!$U$2)))</f>
        <v/>
      </c>
      <c r="L185" s="63" t="str">
        <f>IFERROR(INDEX(PASSDOWN!$G$11:$G$15,MATCH(C185,PASSDOWN!$A$11:$A$15,0)),"")</f>
        <v/>
      </c>
      <c r="M185" s="64" t="str">
        <f t="shared" si="4"/>
        <v/>
      </c>
      <c r="N185" s="62" t="str">
        <f t="shared" si="5"/>
        <v/>
      </c>
    </row>
    <row r="186" spans="1:14" ht="15" customHeight="1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2" t="str">
        <f>IF(OR(A186="",B186="",C186="",G186=""),"",SUMIFS(EVENTS!$G$5:$G$204,EVENTS!$A$5:$A$204,A186,EVENTS!$B$5:$B$204,B186,EVENTS!$C$5:$C$204,C186,EVENTS!$H$5:$H$204,G186))</f>
        <v/>
      </c>
      <c r="K186" s="63" t="str">
        <f>IF(J186="","",MAX(0,1-J186/IF(PASSDOWN!$U$2="",720,PASSDOWN!$U$2)))</f>
        <v/>
      </c>
      <c r="L186" s="63" t="str">
        <f>IFERROR(INDEX(PASSDOWN!$G$11:$G$15,MATCH(C186,PASSDOWN!$A$11:$A$15,0)),"")</f>
        <v/>
      </c>
      <c r="M186" s="64" t="str">
        <f t="shared" si="4"/>
        <v/>
      </c>
      <c r="N186" s="62" t="str">
        <f t="shared" si="5"/>
        <v/>
      </c>
    </row>
    <row r="187" spans="1:14" ht="15" customHeight="1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2" t="str">
        <f>IF(OR(A187="",B187="",C187="",G187=""),"",SUMIFS(EVENTS!$G$5:$G$204,EVENTS!$A$5:$A$204,A187,EVENTS!$B$5:$B$204,B187,EVENTS!$C$5:$C$204,C187,EVENTS!$H$5:$H$204,G187))</f>
        <v/>
      </c>
      <c r="K187" s="63" t="str">
        <f>IF(J187="","",MAX(0,1-J187/IF(PASSDOWN!$U$2="",720,PASSDOWN!$U$2)))</f>
        <v/>
      </c>
      <c r="L187" s="63" t="str">
        <f>IFERROR(INDEX(PASSDOWN!$G$11:$G$15,MATCH(C187,PASSDOWN!$A$11:$A$15,0)),"")</f>
        <v/>
      </c>
      <c r="M187" s="64" t="str">
        <f t="shared" si="4"/>
        <v/>
      </c>
      <c r="N187" s="62" t="str">
        <f t="shared" si="5"/>
        <v/>
      </c>
    </row>
    <row r="188" spans="1:14" ht="15" customHeight="1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2" t="str">
        <f>IF(OR(A188="",B188="",C188="",G188=""),"",SUMIFS(EVENTS!$G$5:$G$204,EVENTS!$A$5:$A$204,A188,EVENTS!$B$5:$B$204,B188,EVENTS!$C$5:$C$204,C188,EVENTS!$H$5:$H$204,G188))</f>
        <v/>
      </c>
      <c r="K188" s="63" t="str">
        <f>IF(J188="","",MAX(0,1-J188/IF(PASSDOWN!$U$2="",720,PASSDOWN!$U$2)))</f>
        <v/>
      </c>
      <c r="L188" s="63" t="str">
        <f>IFERROR(INDEX(PASSDOWN!$G$11:$G$15,MATCH(C188,PASSDOWN!$A$11:$A$15,0)),"")</f>
        <v/>
      </c>
      <c r="M188" s="64" t="str">
        <f t="shared" si="4"/>
        <v/>
      </c>
      <c r="N188" s="62" t="str">
        <f t="shared" si="5"/>
        <v/>
      </c>
    </row>
    <row r="189" spans="1:14" ht="15" customHeight="1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2" t="str">
        <f>IF(OR(A189="",B189="",C189="",G189=""),"",SUMIFS(EVENTS!$G$5:$G$204,EVENTS!$A$5:$A$204,A189,EVENTS!$B$5:$B$204,B189,EVENTS!$C$5:$C$204,C189,EVENTS!$H$5:$H$204,G189))</f>
        <v/>
      </c>
      <c r="K189" s="63" t="str">
        <f>IF(J189="","",MAX(0,1-J189/IF(PASSDOWN!$U$2="",720,PASSDOWN!$U$2)))</f>
        <v/>
      </c>
      <c r="L189" s="63" t="str">
        <f>IFERROR(INDEX(PASSDOWN!$G$11:$G$15,MATCH(C189,PASSDOWN!$A$11:$A$15,0)),"")</f>
        <v/>
      </c>
      <c r="M189" s="64" t="str">
        <f t="shared" si="4"/>
        <v/>
      </c>
      <c r="N189" s="62" t="str">
        <f t="shared" si="5"/>
        <v/>
      </c>
    </row>
    <row r="190" spans="1:14" ht="15" customHeight="1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2" t="str">
        <f>IF(OR(A190="",B190="",C190="",G190=""),"",SUMIFS(EVENTS!$G$5:$G$204,EVENTS!$A$5:$A$204,A190,EVENTS!$B$5:$B$204,B190,EVENTS!$C$5:$C$204,C190,EVENTS!$H$5:$H$204,G190))</f>
        <v/>
      </c>
      <c r="K190" s="63" t="str">
        <f>IF(J190="","",MAX(0,1-J190/IF(PASSDOWN!$U$2="",720,PASSDOWN!$U$2)))</f>
        <v/>
      </c>
      <c r="L190" s="63" t="str">
        <f>IFERROR(INDEX(PASSDOWN!$G$11:$G$15,MATCH(C190,PASSDOWN!$A$11:$A$15,0)),"")</f>
        <v/>
      </c>
      <c r="M190" s="64" t="str">
        <f t="shared" si="4"/>
        <v/>
      </c>
      <c r="N190" s="62" t="str">
        <f t="shared" si="5"/>
        <v/>
      </c>
    </row>
    <row r="191" spans="1:14" ht="15" customHeight="1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2" t="str">
        <f>IF(OR(A191="",B191="",C191="",G191=""),"",SUMIFS(EVENTS!$G$5:$G$204,EVENTS!$A$5:$A$204,A191,EVENTS!$B$5:$B$204,B191,EVENTS!$C$5:$C$204,C191,EVENTS!$H$5:$H$204,G191))</f>
        <v/>
      </c>
      <c r="K191" s="63" t="str">
        <f>IF(J191="","",MAX(0,1-J191/IF(PASSDOWN!$U$2="",720,PASSDOWN!$U$2)))</f>
        <v/>
      </c>
      <c r="L191" s="63" t="str">
        <f>IFERROR(INDEX(PASSDOWN!$G$11:$G$15,MATCH(C191,PASSDOWN!$A$11:$A$15,0)),"")</f>
        <v/>
      </c>
      <c r="M191" s="64" t="str">
        <f t="shared" si="4"/>
        <v/>
      </c>
      <c r="N191" s="62" t="str">
        <f t="shared" si="5"/>
        <v/>
      </c>
    </row>
    <row r="192" spans="1:14" ht="15" customHeight="1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2" t="str">
        <f>IF(OR(A192="",B192="",C192="",G192=""),"",SUMIFS(EVENTS!$G$5:$G$204,EVENTS!$A$5:$A$204,A192,EVENTS!$B$5:$B$204,B192,EVENTS!$C$5:$C$204,C192,EVENTS!$H$5:$H$204,G192))</f>
        <v/>
      </c>
      <c r="K192" s="63" t="str">
        <f>IF(J192="","",MAX(0,1-J192/IF(PASSDOWN!$U$2="",720,PASSDOWN!$U$2)))</f>
        <v/>
      </c>
      <c r="L192" s="63" t="str">
        <f>IFERROR(INDEX(PASSDOWN!$G$11:$G$15,MATCH(C192,PASSDOWN!$A$11:$A$15,0)),"")</f>
        <v/>
      </c>
      <c r="M192" s="64" t="str">
        <f t="shared" si="4"/>
        <v/>
      </c>
      <c r="N192" s="62" t="str">
        <f t="shared" si="5"/>
        <v/>
      </c>
    </row>
    <row r="193" spans="1:14" ht="15" customHeight="1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2" t="str">
        <f>IF(OR(A193="",B193="",C193="",G193=""),"",SUMIFS(EVENTS!$G$5:$G$204,EVENTS!$A$5:$A$204,A193,EVENTS!$B$5:$B$204,B193,EVENTS!$C$5:$C$204,C193,EVENTS!$H$5:$H$204,G193))</f>
        <v/>
      </c>
      <c r="K193" s="63" t="str">
        <f>IF(J193="","",MAX(0,1-J193/IF(PASSDOWN!$U$2="",720,PASSDOWN!$U$2)))</f>
        <v/>
      </c>
      <c r="L193" s="63" t="str">
        <f>IFERROR(INDEX(PASSDOWN!$G$11:$G$15,MATCH(C193,PASSDOWN!$A$11:$A$15,0)),"")</f>
        <v/>
      </c>
      <c r="M193" s="64" t="str">
        <f t="shared" si="4"/>
        <v/>
      </c>
      <c r="N193" s="62" t="str">
        <f t="shared" si="5"/>
        <v/>
      </c>
    </row>
    <row r="194" spans="1:14" ht="15" customHeight="1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2" t="str">
        <f>IF(OR(A194="",B194="",C194="",G194=""),"",SUMIFS(EVENTS!$G$5:$G$204,EVENTS!$A$5:$A$204,A194,EVENTS!$B$5:$B$204,B194,EVENTS!$C$5:$C$204,C194,EVENTS!$H$5:$H$204,G194))</f>
        <v/>
      </c>
      <c r="K194" s="63" t="str">
        <f>IF(J194="","",MAX(0,1-J194/IF(PASSDOWN!$U$2="",720,PASSDOWN!$U$2)))</f>
        <v/>
      </c>
      <c r="L194" s="63" t="str">
        <f>IFERROR(INDEX(PASSDOWN!$G$11:$G$15,MATCH(C194,PASSDOWN!$A$11:$A$15,0)),"")</f>
        <v/>
      </c>
      <c r="M194" s="64" t="str">
        <f t="shared" si="4"/>
        <v/>
      </c>
      <c r="N194" s="62" t="str">
        <f t="shared" si="5"/>
        <v/>
      </c>
    </row>
    <row r="195" spans="1:14" ht="15" customHeight="1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2" t="str">
        <f>IF(OR(A195="",B195="",C195="",G195=""),"",SUMIFS(EVENTS!$G$5:$G$204,EVENTS!$A$5:$A$204,A195,EVENTS!$B$5:$B$204,B195,EVENTS!$C$5:$C$204,C195,EVENTS!$H$5:$H$204,G195))</f>
        <v/>
      </c>
      <c r="K195" s="63" t="str">
        <f>IF(J195="","",MAX(0,1-J195/IF(PASSDOWN!$U$2="",720,PASSDOWN!$U$2)))</f>
        <v/>
      </c>
      <c r="L195" s="63" t="str">
        <f>IFERROR(INDEX(PASSDOWN!$G$11:$G$15,MATCH(C195,PASSDOWN!$A$11:$A$15,0)),"")</f>
        <v/>
      </c>
      <c r="M195" s="64" t="str">
        <f t="shared" ref="M195:M258" si="6">IF(OR(K195="",L195=""),"",ROUND(100*K195*IF(L195&gt;1,L195/100,L195),0))</f>
        <v/>
      </c>
      <c r="N195" s="62" t="str">
        <f t="shared" ref="N195:N258" si="7">IF(M195="","",IF(M195&gt;=90,"A",IF(M195&gt;=80,"B",IF(M195&gt;=70,"C",IF(M195&gt;=60,"D","F")))))</f>
        <v/>
      </c>
    </row>
    <row r="196" spans="1:14" ht="15" customHeight="1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2" t="str">
        <f>IF(OR(A196="",B196="",C196="",G196=""),"",SUMIFS(EVENTS!$G$5:$G$204,EVENTS!$A$5:$A$204,A196,EVENTS!$B$5:$B$204,B196,EVENTS!$C$5:$C$204,C196,EVENTS!$H$5:$H$204,G196))</f>
        <v/>
      </c>
      <c r="K196" s="63" t="str">
        <f>IF(J196="","",MAX(0,1-J196/IF(PASSDOWN!$U$2="",720,PASSDOWN!$U$2)))</f>
        <v/>
      </c>
      <c r="L196" s="63" t="str">
        <f>IFERROR(INDEX(PASSDOWN!$G$11:$G$15,MATCH(C196,PASSDOWN!$A$11:$A$15,0)),"")</f>
        <v/>
      </c>
      <c r="M196" s="64" t="str">
        <f t="shared" si="6"/>
        <v/>
      </c>
      <c r="N196" s="62" t="str">
        <f t="shared" si="7"/>
        <v/>
      </c>
    </row>
    <row r="197" spans="1:14" ht="15" customHeight="1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2" t="str">
        <f>IF(OR(A197="",B197="",C197="",G197=""),"",SUMIFS(EVENTS!$G$5:$G$204,EVENTS!$A$5:$A$204,A197,EVENTS!$B$5:$B$204,B197,EVENTS!$C$5:$C$204,C197,EVENTS!$H$5:$H$204,G197))</f>
        <v/>
      </c>
      <c r="K197" s="63" t="str">
        <f>IF(J197="","",MAX(0,1-J197/IF(PASSDOWN!$U$2="",720,PASSDOWN!$U$2)))</f>
        <v/>
      </c>
      <c r="L197" s="63" t="str">
        <f>IFERROR(INDEX(PASSDOWN!$G$11:$G$15,MATCH(C197,PASSDOWN!$A$11:$A$15,0)),"")</f>
        <v/>
      </c>
      <c r="M197" s="64" t="str">
        <f t="shared" si="6"/>
        <v/>
      </c>
      <c r="N197" s="62" t="str">
        <f t="shared" si="7"/>
        <v/>
      </c>
    </row>
    <row r="198" spans="1:14" ht="15" customHeight="1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2" t="str">
        <f>IF(OR(A198="",B198="",C198="",G198=""),"",SUMIFS(EVENTS!$G$5:$G$204,EVENTS!$A$5:$A$204,A198,EVENTS!$B$5:$B$204,B198,EVENTS!$C$5:$C$204,C198,EVENTS!$H$5:$H$204,G198))</f>
        <v/>
      </c>
      <c r="K198" s="63" t="str">
        <f>IF(J198="","",MAX(0,1-J198/IF(PASSDOWN!$U$2="",720,PASSDOWN!$U$2)))</f>
        <v/>
      </c>
      <c r="L198" s="63" t="str">
        <f>IFERROR(INDEX(PASSDOWN!$G$11:$G$15,MATCH(C198,PASSDOWN!$A$11:$A$15,0)),"")</f>
        <v/>
      </c>
      <c r="M198" s="64" t="str">
        <f t="shared" si="6"/>
        <v/>
      </c>
      <c r="N198" s="62" t="str">
        <f t="shared" si="7"/>
        <v/>
      </c>
    </row>
    <row r="199" spans="1:14" ht="15" customHeight="1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2" t="str">
        <f>IF(OR(A199="",B199="",C199="",G199=""),"",SUMIFS(EVENTS!$G$5:$G$204,EVENTS!$A$5:$A$204,A199,EVENTS!$B$5:$B$204,B199,EVENTS!$C$5:$C$204,C199,EVENTS!$H$5:$H$204,G199))</f>
        <v/>
      </c>
      <c r="K199" s="63" t="str">
        <f>IF(J199="","",MAX(0,1-J199/IF(PASSDOWN!$U$2="",720,PASSDOWN!$U$2)))</f>
        <v/>
      </c>
      <c r="L199" s="63" t="str">
        <f>IFERROR(INDEX(PASSDOWN!$G$11:$G$15,MATCH(C199,PASSDOWN!$A$11:$A$15,0)),"")</f>
        <v/>
      </c>
      <c r="M199" s="64" t="str">
        <f t="shared" si="6"/>
        <v/>
      </c>
      <c r="N199" s="62" t="str">
        <f t="shared" si="7"/>
        <v/>
      </c>
    </row>
    <row r="200" spans="1:14" ht="15" customHeight="1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2" t="str">
        <f>IF(OR(A200="",B200="",C200="",G200=""),"",SUMIFS(EVENTS!$G$5:$G$204,EVENTS!$A$5:$A$204,A200,EVENTS!$B$5:$B$204,B200,EVENTS!$C$5:$C$204,C200,EVENTS!$H$5:$H$204,G200))</f>
        <v/>
      </c>
      <c r="K200" s="63" t="str">
        <f>IF(J200="","",MAX(0,1-J200/IF(PASSDOWN!$U$2="",720,PASSDOWN!$U$2)))</f>
        <v/>
      </c>
      <c r="L200" s="63" t="str">
        <f>IFERROR(INDEX(PASSDOWN!$G$11:$G$15,MATCH(C200,PASSDOWN!$A$11:$A$15,0)),"")</f>
        <v/>
      </c>
      <c r="M200" s="64" t="str">
        <f t="shared" si="6"/>
        <v/>
      </c>
      <c r="N200" s="62" t="str">
        <f t="shared" si="7"/>
        <v/>
      </c>
    </row>
    <row r="201" spans="1:14" ht="15" customHeight="1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2" t="str">
        <f>IF(OR(A201="",B201="",C201="",G201=""),"",SUMIFS(EVENTS!$G$5:$G$204,EVENTS!$A$5:$A$204,A201,EVENTS!$B$5:$B$204,B201,EVENTS!$C$5:$C$204,C201,EVENTS!$H$5:$H$204,G201))</f>
        <v/>
      </c>
      <c r="K201" s="63" t="str">
        <f>IF(J201="","",MAX(0,1-J201/IF(PASSDOWN!$U$2="",720,PASSDOWN!$U$2)))</f>
        <v/>
      </c>
      <c r="L201" s="63" t="str">
        <f>IFERROR(INDEX(PASSDOWN!$G$11:$G$15,MATCH(C201,PASSDOWN!$A$11:$A$15,0)),"")</f>
        <v/>
      </c>
      <c r="M201" s="64" t="str">
        <f t="shared" si="6"/>
        <v/>
      </c>
      <c r="N201" s="62" t="str">
        <f t="shared" si="7"/>
        <v/>
      </c>
    </row>
    <row r="202" spans="1:14" ht="15" customHeight="1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2" t="str">
        <f>IF(OR(A202="",B202="",C202="",G202=""),"",SUMIFS(EVENTS!$G$5:$G$204,EVENTS!$A$5:$A$204,A202,EVENTS!$B$5:$B$204,B202,EVENTS!$C$5:$C$204,C202,EVENTS!$H$5:$H$204,G202))</f>
        <v/>
      </c>
      <c r="K202" s="63" t="str">
        <f>IF(J202="","",MAX(0,1-J202/IF(PASSDOWN!$U$2="",720,PASSDOWN!$U$2)))</f>
        <v/>
      </c>
      <c r="L202" s="63" t="str">
        <f>IFERROR(INDEX(PASSDOWN!$G$11:$G$15,MATCH(C202,PASSDOWN!$A$11:$A$15,0)),"")</f>
        <v/>
      </c>
      <c r="M202" s="64" t="str">
        <f t="shared" si="6"/>
        <v/>
      </c>
      <c r="N202" s="62" t="str">
        <f t="shared" si="7"/>
        <v/>
      </c>
    </row>
    <row r="203" spans="1:14" ht="15" customHeight="1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2" t="str">
        <f>IF(OR(A203="",B203="",C203="",G203=""),"",SUMIFS(EVENTS!$G$5:$G$204,EVENTS!$A$5:$A$204,A203,EVENTS!$B$5:$B$204,B203,EVENTS!$C$5:$C$204,C203,EVENTS!$H$5:$H$204,G203))</f>
        <v/>
      </c>
      <c r="K203" s="63" t="str">
        <f>IF(J203="","",MAX(0,1-J203/IF(PASSDOWN!$U$2="",720,PASSDOWN!$U$2)))</f>
        <v/>
      </c>
      <c r="L203" s="63" t="str">
        <f>IFERROR(INDEX(PASSDOWN!$G$11:$G$15,MATCH(C203,PASSDOWN!$A$11:$A$15,0)),"")</f>
        <v/>
      </c>
      <c r="M203" s="64" t="str">
        <f t="shared" si="6"/>
        <v/>
      </c>
      <c r="N203" s="62" t="str">
        <f t="shared" si="7"/>
        <v/>
      </c>
    </row>
    <row r="204" spans="1:14" ht="15" customHeight="1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2" t="str">
        <f>IF(OR(A204="",B204="",C204="",G204=""),"",SUMIFS(EVENTS!$G$5:$G$204,EVENTS!$A$5:$A$204,A204,EVENTS!$B$5:$B$204,B204,EVENTS!$C$5:$C$204,C204,EVENTS!$H$5:$H$204,G204))</f>
        <v/>
      </c>
      <c r="K204" s="63" t="str">
        <f>IF(J204="","",MAX(0,1-J204/IF(PASSDOWN!$U$2="",720,PASSDOWN!$U$2)))</f>
        <v/>
      </c>
      <c r="L204" s="63" t="str">
        <f>IFERROR(INDEX(PASSDOWN!$G$11:$G$15,MATCH(C204,PASSDOWN!$A$11:$A$15,0)),"")</f>
        <v/>
      </c>
      <c r="M204" s="64" t="str">
        <f t="shared" si="6"/>
        <v/>
      </c>
      <c r="N204" s="62" t="str">
        <f t="shared" si="7"/>
        <v/>
      </c>
    </row>
    <row r="205" spans="1:14" ht="15" customHeight="1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2" t="str">
        <f>IF(OR(A205="",B205="",C205="",G205=""),"",SUMIFS(EVENTS!$G$5:$G$204,EVENTS!$A$5:$A$204,A205,EVENTS!$B$5:$B$204,B205,EVENTS!$C$5:$C$204,C205,EVENTS!$H$5:$H$204,G205))</f>
        <v/>
      </c>
      <c r="K205" s="63" t="str">
        <f>IF(J205="","",MAX(0,1-J205/IF(PASSDOWN!$U$2="",720,PASSDOWN!$U$2)))</f>
        <v/>
      </c>
      <c r="L205" s="63" t="str">
        <f>IFERROR(INDEX(PASSDOWN!$G$11:$G$15,MATCH(C205,PASSDOWN!$A$11:$A$15,0)),"")</f>
        <v/>
      </c>
      <c r="M205" s="64" t="str">
        <f t="shared" si="6"/>
        <v/>
      </c>
      <c r="N205" s="62" t="str">
        <f t="shared" si="7"/>
        <v/>
      </c>
    </row>
    <row r="206" spans="1:14" ht="15" customHeight="1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2" t="str">
        <f>IF(OR(A206="",B206="",C206="",G206=""),"",SUMIFS(EVENTS!$G$5:$G$204,EVENTS!$A$5:$A$204,A206,EVENTS!$B$5:$B$204,B206,EVENTS!$C$5:$C$204,C206,EVENTS!$H$5:$H$204,G206))</f>
        <v/>
      </c>
      <c r="K206" s="63" t="str">
        <f>IF(J206="","",MAX(0,1-J206/IF(PASSDOWN!$U$2="",720,PASSDOWN!$U$2)))</f>
        <v/>
      </c>
      <c r="L206" s="63" t="str">
        <f>IFERROR(INDEX(PASSDOWN!$G$11:$G$15,MATCH(C206,PASSDOWN!$A$11:$A$15,0)),"")</f>
        <v/>
      </c>
      <c r="M206" s="64" t="str">
        <f t="shared" si="6"/>
        <v/>
      </c>
      <c r="N206" s="62" t="str">
        <f t="shared" si="7"/>
        <v/>
      </c>
    </row>
    <row r="207" spans="1:14" ht="15" customHeight="1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2" t="str">
        <f>IF(OR(A207="",B207="",C207="",G207=""),"",SUMIFS(EVENTS!$G$5:$G$204,EVENTS!$A$5:$A$204,A207,EVENTS!$B$5:$B$204,B207,EVENTS!$C$5:$C$204,C207,EVENTS!$H$5:$H$204,G207))</f>
        <v/>
      </c>
      <c r="K207" s="63" t="str">
        <f>IF(J207="","",MAX(0,1-J207/IF(PASSDOWN!$U$2="",720,PASSDOWN!$U$2)))</f>
        <v/>
      </c>
      <c r="L207" s="63" t="str">
        <f>IFERROR(INDEX(PASSDOWN!$G$11:$G$15,MATCH(C207,PASSDOWN!$A$11:$A$15,0)),"")</f>
        <v/>
      </c>
      <c r="M207" s="64" t="str">
        <f t="shared" si="6"/>
        <v/>
      </c>
      <c r="N207" s="62" t="str">
        <f t="shared" si="7"/>
        <v/>
      </c>
    </row>
    <row r="208" spans="1:14" ht="15" customHeight="1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2" t="str">
        <f>IF(OR(A208="",B208="",C208="",G208=""),"",SUMIFS(EVENTS!$G$5:$G$204,EVENTS!$A$5:$A$204,A208,EVENTS!$B$5:$B$204,B208,EVENTS!$C$5:$C$204,C208,EVENTS!$H$5:$H$204,G208))</f>
        <v/>
      </c>
      <c r="K208" s="63" t="str">
        <f>IF(J208="","",MAX(0,1-J208/IF(PASSDOWN!$U$2="",720,PASSDOWN!$U$2)))</f>
        <v/>
      </c>
      <c r="L208" s="63" t="str">
        <f>IFERROR(INDEX(PASSDOWN!$G$11:$G$15,MATCH(C208,PASSDOWN!$A$11:$A$15,0)),"")</f>
        <v/>
      </c>
      <c r="M208" s="64" t="str">
        <f t="shared" si="6"/>
        <v/>
      </c>
      <c r="N208" s="62" t="str">
        <f t="shared" si="7"/>
        <v/>
      </c>
    </row>
    <row r="209" spans="1:14" ht="15" customHeight="1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2" t="str">
        <f>IF(OR(A209="",B209="",C209="",G209=""),"",SUMIFS(EVENTS!$G$5:$G$204,EVENTS!$A$5:$A$204,A209,EVENTS!$B$5:$B$204,B209,EVENTS!$C$5:$C$204,C209,EVENTS!$H$5:$H$204,G209))</f>
        <v/>
      </c>
      <c r="K209" s="63" t="str">
        <f>IF(J209="","",MAX(0,1-J209/IF(PASSDOWN!$U$2="",720,PASSDOWN!$U$2)))</f>
        <v/>
      </c>
      <c r="L209" s="63" t="str">
        <f>IFERROR(INDEX(PASSDOWN!$G$11:$G$15,MATCH(C209,PASSDOWN!$A$11:$A$15,0)),"")</f>
        <v/>
      </c>
      <c r="M209" s="64" t="str">
        <f t="shared" si="6"/>
        <v/>
      </c>
      <c r="N209" s="62" t="str">
        <f t="shared" si="7"/>
        <v/>
      </c>
    </row>
    <row r="210" spans="1:14" ht="15" customHeight="1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2" t="str">
        <f>IF(OR(A210="",B210="",C210="",G210=""),"",SUMIFS(EVENTS!$G$5:$G$204,EVENTS!$A$5:$A$204,A210,EVENTS!$B$5:$B$204,B210,EVENTS!$C$5:$C$204,C210,EVENTS!$H$5:$H$204,G210))</f>
        <v/>
      </c>
      <c r="K210" s="63" t="str">
        <f>IF(J210="","",MAX(0,1-J210/IF(PASSDOWN!$U$2="",720,PASSDOWN!$U$2)))</f>
        <v/>
      </c>
      <c r="L210" s="63" t="str">
        <f>IFERROR(INDEX(PASSDOWN!$G$11:$G$15,MATCH(C210,PASSDOWN!$A$11:$A$15,0)),"")</f>
        <v/>
      </c>
      <c r="M210" s="64" t="str">
        <f t="shared" si="6"/>
        <v/>
      </c>
      <c r="N210" s="62" t="str">
        <f t="shared" si="7"/>
        <v/>
      </c>
    </row>
    <row r="211" spans="1:14" ht="15" customHeight="1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2" t="str">
        <f>IF(OR(A211="",B211="",C211="",G211=""),"",SUMIFS(EVENTS!$G$5:$G$204,EVENTS!$A$5:$A$204,A211,EVENTS!$B$5:$B$204,B211,EVENTS!$C$5:$C$204,C211,EVENTS!$H$5:$H$204,G211))</f>
        <v/>
      </c>
      <c r="K211" s="63" t="str">
        <f>IF(J211="","",MAX(0,1-J211/IF(PASSDOWN!$U$2="",720,PASSDOWN!$U$2)))</f>
        <v/>
      </c>
      <c r="L211" s="63" t="str">
        <f>IFERROR(INDEX(PASSDOWN!$G$11:$G$15,MATCH(C211,PASSDOWN!$A$11:$A$15,0)),"")</f>
        <v/>
      </c>
      <c r="M211" s="64" t="str">
        <f t="shared" si="6"/>
        <v/>
      </c>
      <c r="N211" s="62" t="str">
        <f t="shared" si="7"/>
        <v/>
      </c>
    </row>
    <row r="212" spans="1:14" ht="15" customHeight="1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2" t="str">
        <f>IF(OR(A212="",B212="",C212="",G212=""),"",SUMIFS(EVENTS!$G$5:$G$204,EVENTS!$A$5:$A$204,A212,EVENTS!$B$5:$B$204,B212,EVENTS!$C$5:$C$204,C212,EVENTS!$H$5:$H$204,G212))</f>
        <v/>
      </c>
      <c r="K212" s="63" t="str">
        <f>IF(J212="","",MAX(0,1-J212/IF(PASSDOWN!$U$2="",720,PASSDOWN!$U$2)))</f>
        <v/>
      </c>
      <c r="L212" s="63" t="str">
        <f>IFERROR(INDEX(PASSDOWN!$G$11:$G$15,MATCH(C212,PASSDOWN!$A$11:$A$15,0)),"")</f>
        <v/>
      </c>
      <c r="M212" s="64" t="str">
        <f t="shared" si="6"/>
        <v/>
      </c>
      <c r="N212" s="62" t="str">
        <f t="shared" si="7"/>
        <v/>
      </c>
    </row>
    <row r="213" spans="1:14" ht="15" customHeight="1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2" t="str">
        <f>IF(OR(A213="",B213="",C213="",G213=""),"",SUMIFS(EVENTS!$G$5:$G$204,EVENTS!$A$5:$A$204,A213,EVENTS!$B$5:$B$204,B213,EVENTS!$C$5:$C$204,C213,EVENTS!$H$5:$H$204,G213))</f>
        <v/>
      </c>
      <c r="K213" s="63" t="str">
        <f>IF(J213="","",MAX(0,1-J213/IF(PASSDOWN!$U$2="",720,PASSDOWN!$U$2)))</f>
        <v/>
      </c>
      <c r="L213" s="63" t="str">
        <f>IFERROR(INDEX(PASSDOWN!$G$11:$G$15,MATCH(C213,PASSDOWN!$A$11:$A$15,0)),"")</f>
        <v/>
      </c>
      <c r="M213" s="64" t="str">
        <f t="shared" si="6"/>
        <v/>
      </c>
      <c r="N213" s="62" t="str">
        <f t="shared" si="7"/>
        <v/>
      </c>
    </row>
    <row r="214" spans="1:14" ht="15" customHeight="1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2" t="str">
        <f>IF(OR(A214="",B214="",C214="",G214=""),"",SUMIFS(EVENTS!$G$5:$G$204,EVENTS!$A$5:$A$204,A214,EVENTS!$B$5:$B$204,B214,EVENTS!$C$5:$C$204,C214,EVENTS!$H$5:$H$204,G214))</f>
        <v/>
      </c>
      <c r="K214" s="63" t="str">
        <f>IF(J214="","",MAX(0,1-J214/IF(PASSDOWN!$U$2="",720,PASSDOWN!$U$2)))</f>
        <v/>
      </c>
      <c r="L214" s="63" t="str">
        <f>IFERROR(INDEX(PASSDOWN!$G$11:$G$15,MATCH(C214,PASSDOWN!$A$11:$A$15,0)),"")</f>
        <v/>
      </c>
      <c r="M214" s="64" t="str">
        <f t="shared" si="6"/>
        <v/>
      </c>
      <c r="N214" s="62" t="str">
        <f t="shared" si="7"/>
        <v/>
      </c>
    </row>
    <row r="215" spans="1:14" ht="15" customHeight="1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2" t="str">
        <f>IF(OR(A215="",B215="",C215="",G215=""),"",SUMIFS(EVENTS!$G$5:$G$204,EVENTS!$A$5:$A$204,A215,EVENTS!$B$5:$B$204,B215,EVENTS!$C$5:$C$204,C215,EVENTS!$H$5:$H$204,G215))</f>
        <v/>
      </c>
      <c r="K215" s="63" t="str">
        <f>IF(J215="","",MAX(0,1-J215/IF(PASSDOWN!$U$2="",720,PASSDOWN!$U$2)))</f>
        <v/>
      </c>
      <c r="L215" s="63" t="str">
        <f>IFERROR(INDEX(PASSDOWN!$G$11:$G$15,MATCH(C215,PASSDOWN!$A$11:$A$15,0)),"")</f>
        <v/>
      </c>
      <c r="M215" s="64" t="str">
        <f t="shared" si="6"/>
        <v/>
      </c>
      <c r="N215" s="62" t="str">
        <f t="shared" si="7"/>
        <v/>
      </c>
    </row>
    <row r="216" spans="1:14" ht="15" customHeight="1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2" t="str">
        <f>IF(OR(A216="",B216="",C216="",G216=""),"",SUMIFS(EVENTS!$G$5:$G$204,EVENTS!$A$5:$A$204,A216,EVENTS!$B$5:$B$204,B216,EVENTS!$C$5:$C$204,C216,EVENTS!$H$5:$H$204,G216))</f>
        <v/>
      </c>
      <c r="K216" s="63" t="str">
        <f>IF(J216="","",MAX(0,1-J216/IF(PASSDOWN!$U$2="",720,PASSDOWN!$U$2)))</f>
        <v/>
      </c>
      <c r="L216" s="63" t="str">
        <f>IFERROR(INDEX(PASSDOWN!$G$11:$G$15,MATCH(C216,PASSDOWN!$A$11:$A$15,0)),"")</f>
        <v/>
      </c>
      <c r="M216" s="64" t="str">
        <f t="shared" si="6"/>
        <v/>
      </c>
      <c r="N216" s="62" t="str">
        <f t="shared" si="7"/>
        <v/>
      </c>
    </row>
    <row r="217" spans="1:14" ht="15" customHeight="1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2" t="str">
        <f>IF(OR(A217="",B217="",C217="",G217=""),"",SUMIFS(EVENTS!$G$5:$G$204,EVENTS!$A$5:$A$204,A217,EVENTS!$B$5:$B$204,B217,EVENTS!$C$5:$C$204,C217,EVENTS!$H$5:$H$204,G217))</f>
        <v/>
      </c>
      <c r="K217" s="63" t="str">
        <f>IF(J217="","",MAX(0,1-J217/IF(PASSDOWN!$U$2="",720,PASSDOWN!$U$2)))</f>
        <v/>
      </c>
      <c r="L217" s="63" t="str">
        <f>IFERROR(INDEX(PASSDOWN!$G$11:$G$15,MATCH(C217,PASSDOWN!$A$11:$A$15,0)),"")</f>
        <v/>
      </c>
      <c r="M217" s="64" t="str">
        <f t="shared" si="6"/>
        <v/>
      </c>
      <c r="N217" s="62" t="str">
        <f t="shared" si="7"/>
        <v/>
      </c>
    </row>
    <row r="218" spans="1:14" ht="15" customHeight="1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2" t="str">
        <f>IF(OR(A218="",B218="",C218="",G218=""),"",SUMIFS(EVENTS!$G$5:$G$204,EVENTS!$A$5:$A$204,A218,EVENTS!$B$5:$B$204,B218,EVENTS!$C$5:$C$204,C218,EVENTS!$H$5:$H$204,G218))</f>
        <v/>
      </c>
      <c r="K218" s="63" t="str">
        <f>IF(J218="","",MAX(0,1-J218/IF(PASSDOWN!$U$2="",720,PASSDOWN!$U$2)))</f>
        <v/>
      </c>
      <c r="L218" s="63" t="str">
        <f>IFERROR(INDEX(PASSDOWN!$G$11:$G$15,MATCH(C218,PASSDOWN!$A$11:$A$15,0)),"")</f>
        <v/>
      </c>
      <c r="M218" s="64" t="str">
        <f t="shared" si="6"/>
        <v/>
      </c>
      <c r="N218" s="62" t="str">
        <f t="shared" si="7"/>
        <v/>
      </c>
    </row>
    <row r="219" spans="1:14" ht="15" customHeight="1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2" t="str">
        <f>IF(OR(A219="",B219="",C219="",G219=""),"",SUMIFS(EVENTS!$G$5:$G$204,EVENTS!$A$5:$A$204,A219,EVENTS!$B$5:$B$204,B219,EVENTS!$C$5:$C$204,C219,EVENTS!$H$5:$H$204,G219))</f>
        <v/>
      </c>
      <c r="K219" s="63" t="str">
        <f>IF(J219="","",MAX(0,1-J219/IF(PASSDOWN!$U$2="",720,PASSDOWN!$U$2)))</f>
        <v/>
      </c>
      <c r="L219" s="63" t="str">
        <f>IFERROR(INDEX(PASSDOWN!$G$11:$G$15,MATCH(C219,PASSDOWN!$A$11:$A$15,0)),"")</f>
        <v/>
      </c>
      <c r="M219" s="64" t="str">
        <f t="shared" si="6"/>
        <v/>
      </c>
      <c r="N219" s="62" t="str">
        <f t="shared" si="7"/>
        <v/>
      </c>
    </row>
    <row r="220" spans="1:14" ht="15" customHeight="1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2" t="str">
        <f>IF(OR(A220="",B220="",C220="",G220=""),"",SUMIFS(EVENTS!$G$5:$G$204,EVENTS!$A$5:$A$204,A220,EVENTS!$B$5:$B$204,B220,EVENTS!$C$5:$C$204,C220,EVENTS!$H$5:$H$204,G220))</f>
        <v/>
      </c>
      <c r="K220" s="63" t="str">
        <f>IF(J220="","",MAX(0,1-J220/IF(PASSDOWN!$U$2="",720,PASSDOWN!$U$2)))</f>
        <v/>
      </c>
      <c r="L220" s="63" t="str">
        <f>IFERROR(INDEX(PASSDOWN!$G$11:$G$15,MATCH(C220,PASSDOWN!$A$11:$A$15,0)),"")</f>
        <v/>
      </c>
      <c r="M220" s="64" t="str">
        <f t="shared" si="6"/>
        <v/>
      </c>
      <c r="N220" s="62" t="str">
        <f t="shared" si="7"/>
        <v/>
      </c>
    </row>
    <row r="221" spans="1:14" ht="15" customHeight="1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2" t="str">
        <f>IF(OR(A221="",B221="",C221="",G221=""),"",SUMIFS(EVENTS!$G$5:$G$204,EVENTS!$A$5:$A$204,A221,EVENTS!$B$5:$B$204,B221,EVENTS!$C$5:$C$204,C221,EVENTS!$H$5:$H$204,G221))</f>
        <v/>
      </c>
      <c r="K221" s="63" t="str">
        <f>IF(J221="","",MAX(0,1-J221/IF(PASSDOWN!$U$2="",720,PASSDOWN!$U$2)))</f>
        <v/>
      </c>
      <c r="L221" s="63" t="str">
        <f>IFERROR(INDEX(PASSDOWN!$G$11:$G$15,MATCH(C221,PASSDOWN!$A$11:$A$15,0)),"")</f>
        <v/>
      </c>
      <c r="M221" s="64" t="str">
        <f t="shared" si="6"/>
        <v/>
      </c>
      <c r="N221" s="62" t="str">
        <f t="shared" si="7"/>
        <v/>
      </c>
    </row>
    <row r="222" spans="1:14" ht="15" customHeight="1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2" t="str">
        <f>IF(OR(A222="",B222="",C222="",G222=""),"",SUMIFS(EVENTS!$G$5:$G$204,EVENTS!$A$5:$A$204,A222,EVENTS!$B$5:$B$204,B222,EVENTS!$C$5:$C$204,C222,EVENTS!$H$5:$H$204,G222))</f>
        <v/>
      </c>
      <c r="K222" s="63" t="str">
        <f>IF(J222="","",MAX(0,1-J222/IF(PASSDOWN!$U$2="",720,PASSDOWN!$U$2)))</f>
        <v/>
      </c>
      <c r="L222" s="63" t="str">
        <f>IFERROR(INDEX(PASSDOWN!$G$11:$G$15,MATCH(C222,PASSDOWN!$A$11:$A$15,0)),"")</f>
        <v/>
      </c>
      <c r="M222" s="64" t="str">
        <f t="shared" si="6"/>
        <v/>
      </c>
      <c r="N222" s="62" t="str">
        <f t="shared" si="7"/>
        <v/>
      </c>
    </row>
    <row r="223" spans="1:14" ht="15" customHeight="1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2" t="str">
        <f>IF(OR(A223="",B223="",C223="",G223=""),"",SUMIFS(EVENTS!$G$5:$G$204,EVENTS!$A$5:$A$204,A223,EVENTS!$B$5:$B$204,B223,EVENTS!$C$5:$C$204,C223,EVENTS!$H$5:$H$204,G223))</f>
        <v/>
      </c>
      <c r="K223" s="63" t="str">
        <f>IF(J223="","",MAX(0,1-J223/IF(PASSDOWN!$U$2="",720,PASSDOWN!$U$2)))</f>
        <v/>
      </c>
      <c r="L223" s="63" t="str">
        <f>IFERROR(INDEX(PASSDOWN!$G$11:$G$15,MATCH(C223,PASSDOWN!$A$11:$A$15,0)),"")</f>
        <v/>
      </c>
      <c r="M223" s="64" t="str">
        <f t="shared" si="6"/>
        <v/>
      </c>
      <c r="N223" s="62" t="str">
        <f t="shared" si="7"/>
        <v/>
      </c>
    </row>
    <row r="224" spans="1:14" ht="15" customHeight="1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2" t="str">
        <f>IF(OR(A224="",B224="",C224="",G224=""),"",SUMIFS(EVENTS!$G$5:$G$204,EVENTS!$A$5:$A$204,A224,EVENTS!$B$5:$B$204,B224,EVENTS!$C$5:$C$204,C224,EVENTS!$H$5:$H$204,G224))</f>
        <v/>
      </c>
      <c r="K224" s="63" t="str">
        <f>IF(J224="","",MAX(0,1-J224/IF(PASSDOWN!$U$2="",720,PASSDOWN!$U$2)))</f>
        <v/>
      </c>
      <c r="L224" s="63" t="str">
        <f>IFERROR(INDEX(PASSDOWN!$G$11:$G$15,MATCH(C224,PASSDOWN!$A$11:$A$15,0)),"")</f>
        <v/>
      </c>
      <c r="M224" s="64" t="str">
        <f t="shared" si="6"/>
        <v/>
      </c>
      <c r="N224" s="62" t="str">
        <f t="shared" si="7"/>
        <v/>
      </c>
    </row>
    <row r="225" spans="1:14" ht="15" customHeight="1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2" t="str">
        <f>IF(OR(A225="",B225="",C225="",G225=""),"",SUMIFS(EVENTS!$G$5:$G$204,EVENTS!$A$5:$A$204,A225,EVENTS!$B$5:$B$204,B225,EVENTS!$C$5:$C$204,C225,EVENTS!$H$5:$H$204,G225))</f>
        <v/>
      </c>
      <c r="K225" s="63" t="str">
        <f>IF(J225="","",MAX(0,1-J225/IF(PASSDOWN!$U$2="",720,PASSDOWN!$U$2)))</f>
        <v/>
      </c>
      <c r="L225" s="63" t="str">
        <f>IFERROR(INDEX(PASSDOWN!$G$11:$G$15,MATCH(C225,PASSDOWN!$A$11:$A$15,0)),"")</f>
        <v/>
      </c>
      <c r="M225" s="64" t="str">
        <f t="shared" si="6"/>
        <v/>
      </c>
      <c r="N225" s="62" t="str">
        <f t="shared" si="7"/>
        <v/>
      </c>
    </row>
    <row r="226" spans="1:14" ht="15" customHeight="1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2" t="str">
        <f>IF(OR(A226="",B226="",C226="",G226=""),"",SUMIFS(EVENTS!$G$5:$G$204,EVENTS!$A$5:$A$204,A226,EVENTS!$B$5:$B$204,B226,EVENTS!$C$5:$C$204,C226,EVENTS!$H$5:$H$204,G226))</f>
        <v/>
      </c>
      <c r="K226" s="63" t="str">
        <f>IF(J226="","",MAX(0,1-J226/IF(PASSDOWN!$U$2="",720,PASSDOWN!$U$2)))</f>
        <v/>
      </c>
      <c r="L226" s="63" t="str">
        <f>IFERROR(INDEX(PASSDOWN!$G$11:$G$15,MATCH(C226,PASSDOWN!$A$11:$A$15,0)),"")</f>
        <v/>
      </c>
      <c r="M226" s="64" t="str">
        <f t="shared" si="6"/>
        <v/>
      </c>
      <c r="N226" s="62" t="str">
        <f t="shared" si="7"/>
        <v/>
      </c>
    </row>
    <row r="227" spans="1:14" ht="15" customHeight="1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2" t="str">
        <f>IF(OR(A227="",B227="",C227="",G227=""),"",SUMIFS(EVENTS!$G$5:$G$204,EVENTS!$A$5:$A$204,A227,EVENTS!$B$5:$B$204,B227,EVENTS!$C$5:$C$204,C227,EVENTS!$H$5:$H$204,G227))</f>
        <v/>
      </c>
      <c r="K227" s="63" t="str">
        <f>IF(J227="","",MAX(0,1-J227/IF(PASSDOWN!$U$2="",720,PASSDOWN!$U$2)))</f>
        <v/>
      </c>
      <c r="L227" s="63" t="str">
        <f>IFERROR(INDEX(PASSDOWN!$G$11:$G$15,MATCH(C227,PASSDOWN!$A$11:$A$15,0)),"")</f>
        <v/>
      </c>
      <c r="M227" s="64" t="str">
        <f t="shared" si="6"/>
        <v/>
      </c>
      <c r="N227" s="62" t="str">
        <f t="shared" si="7"/>
        <v/>
      </c>
    </row>
    <row r="228" spans="1:14" ht="15" customHeight="1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2" t="str">
        <f>IF(OR(A228="",B228="",C228="",G228=""),"",SUMIFS(EVENTS!$G$5:$G$204,EVENTS!$A$5:$A$204,A228,EVENTS!$B$5:$B$204,B228,EVENTS!$C$5:$C$204,C228,EVENTS!$H$5:$H$204,G228))</f>
        <v/>
      </c>
      <c r="K228" s="63" t="str">
        <f>IF(J228="","",MAX(0,1-J228/IF(PASSDOWN!$U$2="",720,PASSDOWN!$U$2)))</f>
        <v/>
      </c>
      <c r="L228" s="63" t="str">
        <f>IFERROR(INDEX(PASSDOWN!$G$11:$G$15,MATCH(C228,PASSDOWN!$A$11:$A$15,0)),"")</f>
        <v/>
      </c>
      <c r="M228" s="64" t="str">
        <f t="shared" si="6"/>
        <v/>
      </c>
      <c r="N228" s="62" t="str">
        <f t="shared" si="7"/>
        <v/>
      </c>
    </row>
    <row r="229" spans="1:14" ht="15" customHeight="1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2" t="str">
        <f>IF(OR(A229="",B229="",C229="",G229=""),"",SUMIFS(EVENTS!$G$5:$G$204,EVENTS!$A$5:$A$204,A229,EVENTS!$B$5:$B$204,B229,EVENTS!$C$5:$C$204,C229,EVENTS!$H$5:$H$204,G229))</f>
        <v/>
      </c>
      <c r="K229" s="63" t="str">
        <f>IF(J229="","",MAX(0,1-J229/IF(PASSDOWN!$U$2="",720,PASSDOWN!$U$2)))</f>
        <v/>
      </c>
      <c r="L229" s="63" t="str">
        <f>IFERROR(INDEX(PASSDOWN!$G$11:$G$15,MATCH(C229,PASSDOWN!$A$11:$A$15,0)),"")</f>
        <v/>
      </c>
      <c r="M229" s="64" t="str">
        <f t="shared" si="6"/>
        <v/>
      </c>
      <c r="N229" s="62" t="str">
        <f t="shared" si="7"/>
        <v/>
      </c>
    </row>
    <row r="230" spans="1:14" ht="15" customHeight="1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2" t="str">
        <f>IF(OR(A230="",B230="",C230="",G230=""),"",SUMIFS(EVENTS!$G$5:$G$204,EVENTS!$A$5:$A$204,A230,EVENTS!$B$5:$B$204,B230,EVENTS!$C$5:$C$204,C230,EVENTS!$H$5:$H$204,G230))</f>
        <v/>
      </c>
      <c r="K230" s="63" t="str">
        <f>IF(J230="","",MAX(0,1-J230/IF(PASSDOWN!$U$2="",720,PASSDOWN!$U$2)))</f>
        <v/>
      </c>
      <c r="L230" s="63" t="str">
        <f>IFERROR(INDEX(PASSDOWN!$G$11:$G$15,MATCH(C230,PASSDOWN!$A$11:$A$15,0)),"")</f>
        <v/>
      </c>
      <c r="M230" s="64" t="str">
        <f t="shared" si="6"/>
        <v/>
      </c>
      <c r="N230" s="62" t="str">
        <f t="shared" si="7"/>
        <v/>
      </c>
    </row>
    <row r="231" spans="1:14" ht="15" customHeight="1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2" t="str">
        <f>IF(OR(A231="",B231="",C231="",G231=""),"",SUMIFS(EVENTS!$G$5:$G$204,EVENTS!$A$5:$A$204,A231,EVENTS!$B$5:$B$204,B231,EVENTS!$C$5:$C$204,C231,EVENTS!$H$5:$H$204,G231))</f>
        <v/>
      </c>
      <c r="K231" s="63" t="str">
        <f>IF(J231="","",MAX(0,1-J231/IF(PASSDOWN!$U$2="",720,PASSDOWN!$U$2)))</f>
        <v/>
      </c>
      <c r="L231" s="63" t="str">
        <f>IFERROR(INDEX(PASSDOWN!$G$11:$G$15,MATCH(C231,PASSDOWN!$A$11:$A$15,0)),"")</f>
        <v/>
      </c>
      <c r="M231" s="64" t="str">
        <f t="shared" si="6"/>
        <v/>
      </c>
      <c r="N231" s="62" t="str">
        <f t="shared" si="7"/>
        <v/>
      </c>
    </row>
    <row r="232" spans="1:14" ht="15" customHeight="1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2" t="str">
        <f>IF(OR(A232="",B232="",C232="",G232=""),"",SUMIFS(EVENTS!$G$5:$G$204,EVENTS!$A$5:$A$204,A232,EVENTS!$B$5:$B$204,B232,EVENTS!$C$5:$C$204,C232,EVENTS!$H$5:$H$204,G232))</f>
        <v/>
      </c>
      <c r="K232" s="63" t="str">
        <f>IF(J232="","",MAX(0,1-J232/IF(PASSDOWN!$U$2="",720,PASSDOWN!$U$2)))</f>
        <v/>
      </c>
      <c r="L232" s="63" t="str">
        <f>IFERROR(INDEX(PASSDOWN!$G$11:$G$15,MATCH(C232,PASSDOWN!$A$11:$A$15,0)),"")</f>
        <v/>
      </c>
      <c r="M232" s="64" t="str">
        <f t="shared" si="6"/>
        <v/>
      </c>
      <c r="N232" s="62" t="str">
        <f t="shared" si="7"/>
        <v/>
      </c>
    </row>
    <row r="233" spans="1:14" ht="15" customHeight="1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2" t="str">
        <f>IF(OR(A233="",B233="",C233="",G233=""),"",SUMIFS(EVENTS!$G$5:$G$204,EVENTS!$A$5:$A$204,A233,EVENTS!$B$5:$B$204,B233,EVENTS!$C$5:$C$204,C233,EVENTS!$H$5:$H$204,G233))</f>
        <v/>
      </c>
      <c r="K233" s="63" t="str">
        <f>IF(J233="","",MAX(0,1-J233/IF(PASSDOWN!$U$2="",720,PASSDOWN!$U$2)))</f>
        <v/>
      </c>
      <c r="L233" s="63" t="str">
        <f>IFERROR(INDEX(PASSDOWN!$G$11:$G$15,MATCH(C233,PASSDOWN!$A$11:$A$15,0)),"")</f>
        <v/>
      </c>
      <c r="M233" s="64" t="str">
        <f t="shared" si="6"/>
        <v/>
      </c>
      <c r="N233" s="62" t="str">
        <f t="shared" si="7"/>
        <v/>
      </c>
    </row>
    <row r="234" spans="1:14" ht="15" customHeight="1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2" t="str">
        <f>IF(OR(A234="",B234="",C234="",G234=""),"",SUMIFS(EVENTS!$G$5:$G$204,EVENTS!$A$5:$A$204,A234,EVENTS!$B$5:$B$204,B234,EVENTS!$C$5:$C$204,C234,EVENTS!$H$5:$H$204,G234))</f>
        <v/>
      </c>
      <c r="K234" s="63" t="str">
        <f>IF(J234="","",MAX(0,1-J234/IF(PASSDOWN!$U$2="",720,PASSDOWN!$U$2)))</f>
        <v/>
      </c>
      <c r="L234" s="63" t="str">
        <f>IFERROR(INDEX(PASSDOWN!$G$11:$G$15,MATCH(C234,PASSDOWN!$A$11:$A$15,0)),"")</f>
        <v/>
      </c>
      <c r="M234" s="64" t="str">
        <f t="shared" si="6"/>
        <v/>
      </c>
      <c r="N234" s="62" t="str">
        <f t="shared" si="7"/>
        <v/>
      </c>
    </row>
    <row r="235" spans="1:14" ht="15" customHeight="1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2" t="str">
        <f>IF(OR(A235="",B235="",C235="",G235=""),"",SUMIFS(EVENTS!$G$5:$G$204,EVENTS!$A$5:$A$204,A235,EVENTS!$B$5:$B$204,B235,EVENTS!$C$5:$C$204,C235,EVENTS!$H$5:$H$204,G235))</f>
        <v/>
      </c>
      <c r="K235" s="63" t="str">
        <f>IF(J235="","",MAX(0,1-J235/IF(PASSDOWN!$U$2="",720,PASSDOWN!$U$2)))</f>
        <v/>
      </c>
      <c r="L235" s="63" t="str">
        <f>IFERROR(INDEX(PASSDOWN!$G$11:$G$15,MATCH(C235,PASSDOWN!$A$11:$A$15,0)),"")</f>
        <v/>
      </c>
      <c r="M235" s="64" t="str">
        <f t="shared" si="6"/>
        <v/>
      </c>
      <c r="N235" s="62" t="str">
        <f t="shared" si="7"/>
        <v/>
      </c>
    </row>
    <row r="236" spans="1:14" ht="15" customHeight="1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2" t="str">
        <f>IF(OR(A236="",B236="",C236="",G236=""),"",SUMIFS(EVENTS!$G$5:$G$204,EVENTS!$A$5:$A$204,A236,EVENTS!$B$5:$B$204,B236,EVENTS!$C$5:$C$204,C236,EVENTS!$H$5:$H$204,G236))</f>
        <v/>
      </c>
      <c r="K236" s="63" t="str">
        <f>IF(J236="","",MAX(0,1-J236/IF(PASSDOWN!$U$2="",720,PASSDOWN!$U$2)))</f>
        <v/>
      </c>
      <c r="L236" s="63" t="str">
        <f>IFERROR(INDEX(PASSDOWN!$G$11:$G$15,MATCH(C236,PASSDOWN!$A$11:$A$15,0)),"")</f>
        <v/>
      </c>
      <c r="M236" s="64" t="str">
        <f t="shared" si="6"/>
        <v/>
      </c>
      <c r="N236" s="62" t="str">
        <f t="shared" si="7"/>
        <v/>
      </c>
    </row>
    <row r="237" spans="1:14" ht="15" customHeight="1" x14ac:dyDescent="0.25">
      <c r="A237" s="61"/>
      <c r="B237" s="61"/>
      <c r="C237" s="61"/>
      <c r="D237" s="61"/>
      <c r="E237" s="61"/>
      <c r="F237" s="61"/>
      <c r="G237" s="61"/>
      <c r="H237" s="61"/>
      <c r="I237" s="61"/>
      <c r="J237" s="62" t="str">
        <f>IF(OR(A237="",B237="",C237="",G237=""),"",SUMIFS(EVENTS!$G$5:$G$204,EVENTS!$A$5:$A$204,A237,EVENTS!$B$5:$B$204,B237,EVENTS!$C$5:$C$204,C237,EVENTS!$H$5:$H$204,G237))</f>
        <v/>
      </c>
      <c r="K237" s="63" t="str">
        <f>IF(J237="","",MAX(0,1-J237/IF(PASSDOWN!$U$2="",720,PASSDOWN!$U$2)))</f>
        <v/>
      </c>
      <c r="L237" s="63" t="str">
        <f>IFERROR(INDEX(PASSDOWN!$G$11:$G$15,MATCH(C237,PASSDOWN!$A$11:$A$15,0)),"")</f>
        <v/>
      </c>
      <c r="M237" s="64" t="str">
        <f t="shared" si="6"/>
        <v/>
      </c>
      <c r="N237" s="62" t="str">
        <f t="shared" si="7"/>
        <v/>
      </c>
    </row>
    <row r="238" spans="1:14" ht="15" customHeight="1" x14ac:dyDescent="0.25">
      <c r="A238" s="61"/>
      <c r="B238" s="61"/>
      <c r="C238" s="61"/>
      <c r="D238" s="61"/>
      <c r="E238" s="61"/>
      <c r="F238" s="61"/>
      <c r="G238" s="61"/>
      <c r="H238" s="61"/>
      <c r="I238" s="61"/>
      <c r="J238" s="62" t="str">
        <f>IF(OR(A238="",B238="",C238="",G238=""),"",SUMIFS(EVENTS!$G$5:$G$204,EVENTS!$A$5:$A$204,A238,EVENTS!$B$5:$B$204,B238,EVENTS!$C$5:$C$204,C238,EVENTS!$H$5:$H$204,G238))</f>
        <v/>
      </c>
      <c r="K238" s="63" t="str">
        <f>IF(J238="","",MAX(0,1-J238/IF(PASSDOWN!$U$2="",720,PASSDOWN!$U$2)))</f>
        <v/>
      </c>
      <c r="L238" s="63" t="str">
        <f>IFERROR(INDEX(PASSDOWN!$G$11:$G$15,MATCH(C238,PASSDOWN!$A$11:$A$15,0)),"")</f>
        <v/>
      </c>
      <c r="M238" s="64" t="str">
        <f t="shared" si="6"/>
        <v/>
      </c>
      <c r="N238" s="62" t="str">
        <f t="shared" si="7"/>
        <v/>
      </c>
    </row>
    <row r="239" spans="1:14" ht="15" customHeight="1" x14ac:dyDescent="0.25">
      <c r="A239" s="61"/>
      <c r="B239" s="61"/>
      <c r="C239" s="61"/>
      <c r="D239" s="61"/>
      <c r="E239" s="61"/>
      <c r="F239" s="61"/>
      <c r="G239" s="61"/>
      <c r="H239" s="61"/>
      <c r="I239" s="61"/>
      <c r="J239" s="62" t="str">
        <f>IF(OR(A239="",B239="",C239="",G239=""),"",SUMIFS(EVENTS!$G$5:$G$204,EVENTS!$A$5:$A$204,A239,EVENTS!$B$5:$B$204,B239,EVENTS!$C$5:$C$204,C239,EVENTS!$H$5:$H$204,G239))</f>
        <v/>
      </c>
      <c r="K239" s="63" t="str">
        <f>IF(J239="","",MAX(0,1-J239/IF(PASSDOWN!$U$2="",720,PASSDOWN!$U$2)))</f>
        <v/>
      </c>
      <c r="L239" s="63" t="str">
        <f>IFERROR(INDEX(PASSDOWN!$G$11:$G$15,MATCH(C239,PASSDOWN!$A$11:$A$15,0)),"")</f>
        <v/>
      </c>
      <c r="M239" s="64" t="str">
        <f t="shared" si="6"/>
        <v/>
      </c>
      <c r="N239" s="62" t="str">
        <f t="shared" si="7"/>
        <v/>
      </c>
    </row>
    <row r="240" spans="1:14" ht="15" customHeight="1" x14ac:dyDescent="0.25">
      <c r="A240" s="61"/>
      <c r="B240" s="61"/>
      <c r="C240" s="61"/>
      <c r="D240" s="61"/>
      <c r="E240" s="61"/>
      <c r="F240" s="61"/>
      <c r="G240" s="61"/>
      <c r="H240" s="61"/>
      <c r="I240" s="61"/>
      <c r="J240" s="62" t="str">
        <f>IF(OR(A240="",B240="",C240="",G240=""),"",SUMIFS(EVENTS!$G$5:$G$204,EVENTS!$A$5:$A$204,A240,EVENTS!$B$5:$B$204,B240,EVENTS!$C$5:$C$204,C240,EVENTS!$H$5:$H$204,G240))</f>
        <v/>
      </c>
      <c r="K240" s="63" t="str">
        <f>IF(J240="","",MAX(0,1-J240/IF(PASSDOWN!$U$2="",720,PASSDOWN!$U$2)))</f>
        <v/>
      </c>
      <c r="L240" s="63" t="str">
        <f>IFERROR(INDEX(PASSDOWN!$G$11:$G$15,MATCH(C240,PASSDOWN!$A$11:$A$15,0)),"")</f>
        <v/>
      </c>
      <c r="M240" s="64" t="str">
        <f t="shared" si="6"/>
        <v/>
      </c>
      <c r="N240" s="62" t="str">
        <f t="shared" si="7"/>
        <v/>
      </c>
    </row>
    <row r="241" spans="1:14" ht="15" customHeight="1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2" t="str">
        <f>IF(OR(A241="",B241="",C241="",G241=""),"",SUMIFS(EVENTS!$G$5:$G$204,EVENTS!$A$5:$A$204,A241,EVENTS!$B$5:$B$204,B241,EVENTS!$C$5:$C$204,C241,EVENTS!$H$5:$H$204,G241))</f>
        <v/>
      </c>
      <c r="K241" s="63" t="str">
        <f>IF(J241="","",MAX(0,1-J241/IF(PASSDOWN!$U$2="",720,PASSDOWN!$U$2)))</f>
        <v/>
      </c>
      <c r="L241" s="63" t="str">
        <f>IFERROR(INDEX(PASSDOWN!$G$11:$G$15,MATCH(C241,PASSDOWN!$A$11:$A$15,0)),"")</f>
        <v/>
      </c>
      <c r="M241" s="64" t="str">
        <f t="shared" si="6"/>
        <v/>
      </c>
      <c r="N241" s="62" t="str">
        <f t="shared" si="7"/>
        <v/>
      </c>
    </row>
    <row r="242" spans="1:14" ht="15" customHeight="1" x14ac:dyDescent="0.25">
      <c r="A242" s="61"/>
      <c r="B242" s="61"/>
      <c r="C242" s="61"/>
      <c r="D242" s="61"/>
      <c r="E242" s="61"/>
      <c r="F242" s="61"/>
      <c r="G242" s="61"/>
      <c r="H242" s="61"/>
      <c r="I242" s="61"/>
      <c r="J242" s="62" t="str">
        <f>IF(OR(A242="",B242="",C242="",G242=""),"",SUMIFS(EVENTS!$G$5:$G$204,EVENTS!$A$5:$A$204,A242,EVENTS!$B$5:$B$204,B242,EVENTS!$C$5:$C$204,C242,EVENTS!$H$5:$H$204,G242))</f>
        <v/>
      </c>
      <c r="K242" s="63" t="str">
        <f>IF(J242="","",MAX(0,1-J242/IF(PASSDOWN!$U$2="",720,PASSDOWN!$U$2)))</f>
        <v/>
      </c>
      <c r="L242" s="63" t="str">
        <f>IFERROR(INDEX(PASSDOWN!$G$11:$G$15,MATCH(C242,PASSDOWN!$A$11:$A$15,0)),"")</f>
        <v/>
      </c>
      <c r="M242" s="64" t="str">
        <f t="shared" si="6"/>
        <v/>
      </c>
      <c r="N242" s="62" t="str">
        <f t="shared" si="7"/>
        <v/>
      </c>
    </row>
    <row r="243" spans="1:14" ht="15" customHeight="1" x14ac:dyDescent="0.25">
      <c r="A243" s="61"/>
      <c r="B243" s="61"/>
      <c r="C243" s="61"/>
      <c r="D243" s="61"/>
      <c r="E243" s="61"/>
      <c r="F243" s="61"/>
      <c r="G243" s="61"/>
      <c r="H243" s="61"/>
      <c r="I243" s="61"/>
      <c r="J243" s="62" t="str">
        <f>IF(OR(A243="",B243="",C243="",G243=""),"",SUMIFS(EVENTS!$G$5:$G$204,EVENTS!$A$5:$A$204,A243,EVENTS!$B$5:$B$204,B243,EVENTS!$C$5:$C$204,C243,EVENTS!$H$5:$H$204,G243))</f>
        <v/>
      </c>
      <c r="K243" s="63" t="str">
        <f>IF(J243="","",MAX(0,1-J243/IF(PASSDOWN!$U$2="",720,PASSDOWN!$U$2)))</f>
        <v/>
      </c>
      <c r="L243" s="63" t="str">
        <f>IFERROR(INDEX(PASSDOWN!$G$11:$G$15,MATCH(C243,PASSDOWN!$A$11:$A$15,0)),"")</f>
        <v/>
      </c>
      <c r="M243" s="64" t="str">
        <f t="shared" si="6"/>
        <v/>
      </c>
      <c r="N243" s="62" t="str">
        <f t="shared" si="7"/>
        <v/>
      </c>
    </row>
    <row r="244" spans="1:14" ht="15" customHeight="1" x14ac:dyDescent="0.25">
      <c r="A244" s="61"/>
      <c r="B244" s="61"/>
      <c r="C244" s="61"/>
      <c r="D244" s="61"/>
      <c r="E244" s="61"/>
      <c r="F244" s="61"/>
      <c r="G244" s="61"/>
      <c r="H244" s="61"/>
      <c r="I244" s="61"/>
      <c r="J244" s="62" t="str">
        <f>IF(OR(A244="",B244="",C244="",G244=""),"",SUMIFS(EVENTS!$G$5:$G$204,EVENTS!$A$5:$A$204,A244,EVENTS!$B$5:$B$204,B244,EVENTS!$C$5:$C$204,C244,EVENTS!$H$5:$H$204,G244))</f>
        <v/>
      </c>
      <c r="K244" s="63" t="str">
        <f>IF(J244="","",MAX(0,1-J244/IF(PASSDOWN!$U$2="",720,PASSDOWN!$U$2)))</f>
        <v/>
      </c>
      <c r="L244" s="63" t="str">
        <f>IFERROR(INDEX(PASSDOWN!$G$11:$G$15,MATCH(C244,PASSDOWN!$A$11:$A$15,0)),"")</f>
        <v/>
      </c>
      <c r="M244" s="64" t="str">
        <f t="shared" si="6"/>
        <v/>
      </c>
      <c r="N244" s="62" t="str">
        <f t="shared" si="7"/>
        <v/>
      </c>
    </row>
    <row r="245" spans="1:14" ht="15" customHeight="1" x14ac:dyDescent="0.25">
      <c r="A245" s="61"/>
      <c r="B245" s="61"/>
      <c r="C245" s="61"/>
      <c r="D245" s="61"/>
      <c r="E245" s="61"/>
      <c r="F245" s="61"/>
      <c r="G245" s="61"/>
      <c r="H245" s="61"/>
      <c r="I245" s="61"/>
      <c r="J245" s="62" t="str">
        <f>IF(OR(A245="",B245="",C245="",G245=""),"",SUMIFS(EVENTS!$G$5:$G$204,EVENTS!$A$5:$A$204,A245,EVENTS!$B$5:$B$204,B245,EVENTS!$C$5:$C$204,C245,EVENTS!$H$5:$H$204,G245))</f>
        <v/>
      </c>
      <c r="K245" s="63" t="str">
        <f>IF(J245="","",MAX(0,1-J245/IF(PASSDOWN!$U$2="",720,PASSDOWN!$U$2)))</f>
        <v/>
      </c>
      <c r="L245" s="63" t="str">
        <f>IFERROR(INDEX(PASSDOWN!$G$11:$G$15,MATCH(C245,PASSDOWN!$A$11:$A$15,0)),"")</f>
        <v/>
      </c>
      <c r="M245" s="64" t="str">
        <f t="shared" si="6"/>
        <v/>
      </c>
      <c r="N245" s="62" t="str">
        <f t="shared" si="7"/>
        <v/>
      </c>
    </row>
    <row r="246" spans="1:14" ht="15" customHeight="1" x14ac:dyDescent="0.25">
      <c r="A246" s="61"/>
      <c r="B246" s="61"/>
      <c r="C246" s="61"/>
      <c r="D246" s="61"/>
      <c r="E246" s="61"/>
      <c r="F246" s="61"/>
      <c r="G246" s="61"/>
      <c r="H246" s="61"/>
      <c r="I246" s="61"/>
      <c r="J246" s="62" t="str">
        <f>IF(OR(A246="",B246="",C246="",G246=""),"",SUMIFS(EVENTS!$G$5:$G$204,EVENTS!$A$5:$A$204,A246,EVENTS!$B$5:$B$204,B246,EVENTS!$C$5:$C$204,C246,EVENTS!$H$5:$H$204,G246))</f>
        <v/>
      </c>
      <c r="K246" s="63" t="str">
        <f>IF(J246="","",MAX(0,1-J246/IF(PASSDOWN!$U$2="",720,PASSDOWN!$U$2)))</f>
        <v/>
      </c>
      <c r="L246" s="63" t="str">
        <f>IFERROR(INDEX(PASSDOWN!$G$11:$G$15,MATCH(C246,PASSDOWN!$A$11:$A$15,0)),"")</f>
        <v/>
      </c>
      <c r="M246" s="64" t="str">
        <f t="shared" si="6"/>
        <v/>
      </c>
      <c r="N246" s="62" t="str">
        <f t="shared" si="7"/>
        <v/>
      </c>
    </row>
    <row r="247" spans="1:14" ht="15" customHeight="1" x14ac:dyDescent="0.25">
      <c r="A247" s="61"/>
      <c r="B247" s="61"/>
      <c r="C247" s="61"/>
      <c r="D247" s="61"/>
      <c r="E247" s="61"/>
      <c r="F247" s="61"/>
      <c r="G247" s="61"/>
      <c r="H247" s="61"/>
      <c r="I247" s="61"/>
      <c r="J247" s="62" t="str">
        <f>IF(OR(A247="",B247="",C247="",G247=""),"",SUMIFS(EVENTS!$G$5:$G$204,EVENTS!$A$5:$A$204,A247,EVENTS!$B$5:$B$204,B247,EVENTS!$C$5:$C$204,C247,EVENTS!$H$5:$H$204,G247))</f>
        <v/>
      </c>
      <c r="K247" s="63" t="str">
        <f>IF(J247="","",MAX(0,1-J247/IF(PASSDOWN!$U$2="",720,PASSDOWN!$U$2)))</f>
        <v/>
      </c>
      <c r="L247" s="63" t="str">
        <f>IFERROR(INDEX(PASSDOWN!$G$11:$G$15,MATCH(C247,PASSDOWN!$A$11:$A$15,0)),"")</f>
        <v/>
      </c>
      <c r="M247" s="64" t="str">
        <f t="shared" si="6"/>
        <v/>
      </c>
      <c r="N247" s="62" t="str">
        <f t="shared" si="7"/>
        <v/>
      </c>
    </row>
    <row r="248" spans="1:14" ht="15" customHeight="1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2" t="str">
        <f>IF(OR(A248="",B248="",C248="",G248=""),"",SUMIFS(EVENTS!$G$5:$G$204,EVENTS!$A$5:$A$204,A248,EVENTS!$B$5:$B$204,B248,EVENTS!$C$5:$C$204,C248,EVENTS!$H$5:$H$204,G248))</f>
        <v/>
      </c>
      <c r="K248" s="63" t="str">
        <f>IF(J248="","",MAX(0,1-J248/IF(PASSDOWN!$U$2="",720,PASSDOWN!$U$2)))</f>
        <v/>
      </c>
      <c r="L248" s="63" t="str">
        <f>IFERROR(INDEX(PASSDOWN!$G$11:$G$15,MATCH(C248,PASSDOWN!$A$11:$A$15,0)),"")</f>
        <v/>
      </c>
      <c r="M248" s="64" t="str">
        <f t="shared" si="6"/>
        <v/>
      </c>
      <c r="N248" s="62" t="str">
        <f t="shared" si="7"/>
        <v/>
      </c>
    </row>
    <row r="249" spans="1:14" ht="15" customHeight="1" x14ac:dyDescent="0.25">
      <c r="A249" s="61"/>
      <c r="B249" s="61"/>
      <c r="C249" s="61"/>
      <c r="D249" s="61"/>
      <c r="E249" s="61"/>
      <c r="F249" s="61"/>
      <c r="G249" s="61"/>
      <c r="H249" s="61"/>
      <c r="I249" s="61"/>
      <c r="J249" s="62" t="str">
        <f>IF(OR(A249="",B249="",C249="",G249=""),"",SUMIFS(EVENTS!$G$5:$G$204,EVENTS!$A$5:$A$204,A249,EVENTS!$B$5:$B$204,B249,EVENTS!$C$5:$C$204,C249,EVENTS!$H$5:$H$204,G249))</f>
        <v/>
      </c>
      <c r="K249" s="63" t="str">
        <f>IF(J249="","",MAX(0,1-J249/IF(PASSDOWN!$U$2="",720,PASSDOWN!$U$2)))</f>
        <v/>
      </c>
      <c r="L249" s="63" t="str">
        <f>IFERROR(INDEX(PASSDOWN!$G$11:$G$15,MATCH(C249,PASSDOWN!$A$11:$A$15,0)),"")</f>
        <v/>
      </c>
      <c r="M249" s="64" t="str">
        <f t="shared" si="6"/>
        <v/>
      </c>
      <c r="N249" s="62" t="str">
        <f t="shared" si="7"/>
        <v/>
      </c>
    </row>
    <row r="250" spans="1:14" ht="15" customHeight="1" x14ac:dyDescent="0.25">
      <c r="A250" s="61"/>
      <c r="B250" s="61"/>
      <c r="C250" s="61"/>
      <c r="D250" s="61"/>
      <c r="E250" s="61"/>
      <c r="F250" s="61"/>
      <c r="G250" s="61"/>
      <c r="H250" s="61"/>
      <c r="I250" s="61"/>
      <c r="J250" s="62" t="str">
        <f>IF(OR(A250="",B250="",C250="",G250=""),"",SUMIFS(EVENTS!$G$5:$G$204,EVENTS!$A$5:$A$204,A250,EVENTS!$B$5:$B$204,B250,EVENTS!$C$5:$C$204,C250,EVENTS!$H$5:$H$204,G250))</f>
        <v/>
      </c>
      <c r="K250" s="63" t="str">
        <f>IF(J250="","",MAX(0,1-J250/IF(PASSDOWN!$U$2="",720,PASSDOWN!$U$2)))</f>
        <v/>
      </c>
      <c r="L250" s="63" t="str">
        <f>IFERROR(INDEX(PASSDOWN!$G$11:$G$15,MATCH(C250,PASSDOWN!$A$11:$A$15,0)),"")</f>
        <v/>
      </c>
      <c r="M250" s="64" t="str">
        <f t="shared" si="6"/>
        <v/>
      </c>
      <c r="N250" s="62" t="str">
        <f t="shared" si="7"/>
        <v/>
      </c>
    </row>
    <row r="251" spans="1:14" ht="15" customHeight="1" x14ac:dyDescent="0.25">
      <c r="A251" s="61"/>
      <c r="B251" s="61"/>
      <c r="C251" s="61"/>
      <c r="D251" s="61"/>
      <c r="E251" s="61"/>
      <c r="F251" s="61"/>
      <c r="G251" s="61"/>
      <c r="H251" s="61"/>
      <c r="I251" s="61"/>
      <c r="J251" s="62" t="str">
        <f>IF(OR(A251="",B251="",C251="",G251=""),"",SUMIFS(EVENTS!$G$5:$G$204,EVENTS!$A$5:$A$204,A251,EVENTS!$B$5:$B$204,B251,EVENTS!$C$5:$C$204,C251,EVENTS!$H$5:$H$204,G251))</f>
        <v/>
      </c>
      <c r="K251" s="63" t="str">
        <f>IF(J251="","",MAX(0,1-J251/IF(PASSDOWN!$U$2="",720,PASSDOWN!$U$2)))</f>
        <v/>
      </c>
      <c r="L251" s="63" t="str">
        <f>IFERROR(INDEX(PASSDOWN!$G$11:$G$15,MATCH(C251,PASSDOWN!$A$11:$A$15,0)),"")</f>
        <v/>
      </c>
      <c r="M251" s="64" t="str">
        <f t="shared" si="6"/>
        <v/>
      </c>
      <c r="N251" s="62" t="str">
        <f t="shared" si="7"/>
        <v/>
      </c>
    </row>
    <row r="252" spans="1:14" ht="15" customHeight="1" x14ac:dyDescent="0.25">
      <c r="A252" s="61"/>
      <c r="B252" s="61"/>
      <c r="C252" s="61"/>
      <c r="D252" s="61"/>
      <c r="E252" s="61"/>
      <c r="F252" s="61"/>
      <c r="G252" s="61"/>
      <c r="H252" s="61"/>
      <c r="I252" s="61"/>
      <c r="J252" s="62" t="str">
        <f>IF(OR(A252="",B252="",C252="",G252=""),"",SUMIFS(EVENTS!$G$5:$G$204,EVENTS!$A$5:$A$204,A252,EVENTS!$B$5:$B$204,B252,EVENTS!$C$5:$C$204,C252,EVENTS!$H$5:$H$204,G252))</f>
        <v/>
      </c>
      <c r="K252" s="63" t="str">
        <f>IF(J252="","",MAX(0,1-J252/IF(PASSDOWN!$U$2="",720,PASSDOWN!$U$2)))</f>
        <v/>
      </c>
      <c r="L252" s="63" t="str">
        <f>IFERROR(INDEX(PASSDOWN!$G$11:$G$15,MATCH(C252,PASSDOWN!$A$11:$A$15,0)),"")</f>
        <v/>
      </c>
      <c r="M252" s="64" t="str">
        <f t="shared" si="6"/>
        <v/>
      </c>
      <c r="N252" s="62" t="str">
        <f t="shared" si="7"/>
        <v/>
      </c>
    </row>
    <row r="253" spans="1:14" ht="15" customHeight="1" x14ac:dyDescent="0.25">
      <c r="A253" s="61"/>
      <c r="B253" s="61"/>
      <c r="C253" s="61"/>
      <c r="D253" s="61"/>
      <c r="E253" s="61"/>
      <c r="F253" s="61"/>
      <c r="G253" s="61"/>
      <c r="H253" s="61"/>
      <c r="I253" s="61"/>
      <c r="J253" s="62" t="str">
        <f>IF(OR(A253="",B253="",C253="",G253=""),"",SUMIFS(EVENTS!$G$5:$G$204,EVENTS!$A$5:$A$204,A253,EVENTS!$B$5:$B$204,B253,EVENTS!$C$5:$C$204,C253,EVENTS!$H$5:$H$204,G253))</f>
        <v/>
      </c>
      <c r="K253" s="63" t="str">
        <f>IF(J253="","",MAX(0,1-J253/IF(PASSDOWN!$U$2="",720,PASSDOWN!$U$2)))</f>
        <v/>
      </c>
      <c r="L253" s="63" t="str">
        <f>IFERROR(INDEX(PASSDOWN!$G$11:$G$15,MATCH(C253,PASSDOWN!$A$11:$A$15,0)),"")</f>
        <v/>
      </c>
      <c r="M253" s="64" t="str">
        <f t="shared" si="6"/>
        <v/>
      </c>
      <c r="N253" s="62" t="str">
        <f t="shared" si="7"/>
        <v/>
      </c>
    </row>
    <row r="254" spans="1:14" ht="15" customHeight="1" x14ac:dyDescent="0.25">
      <c r="A254" s="61"/>
      <c r="B254" s="61"/>
      <c r="C254" s="61"/>
      <c r="D254" s="61"/>
      <c r="E254" s="61"/>
      <c r="F254" s="61"/>
      <c r="G254" s="61"/>
      <c r="H254" s="61"/>
      <c r="I254" s="61"/>
      <c r="J254" s="62" t="str">
        <f>IF(OR(A254="",B254="",C254="",G254=""),"",SUMIFS(EVENTS!$G$5:$G$204,EVENTS!$A$5:$A$204,A254,EVENTS!$B$5:$B$204,B254,EVENTS!$C$5:$C$204,C254,EVENTS!$H$5:$H$204,G254))</f>
        <v/>
      </c>
      <c r="K254" s="63" t="str">
        <f>IF(J254="","",MAX(0,1-J254/IF(PASSDOWN!$U$2="",720,PASSDOWN!$U$2)))</f>
        <v/>
      </c>
      <c r="L254" s="63" t="str">
        <f>IFERROR(INDEX(PASSDOWN!$G$11:$G$15,MATCH(C254,PASSDOWN!$A$11:$A$15,0)),"")</f>
        <v/>
      </c>
      <c r="M254" s="64" t="str">
        <f t="shared" si="6"/>
        <v/>
      </c>
      <c r="N254" s="62" t="str">
        <f t="shared" si="7"/>
        <v/>
      </c>
    </row>
    <row r="255" spans="1:14" ht="15" customHeight="1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2" t="str">
        <f>IF(OR(A255="",B255="",C255="",G255=""),"",SUMIFS(EVENTS!$G$5:$G$204,EVENTS!$A$5:$A$204,A255,EVENTS!$B$5:$B$204,B255,EVENTS!$C$5:$C$204,C255,EVENTS!$H$5:$H$204,G255))</f>
        <v/>
      </c>
      <c r="K255" s="63" t="str">
        <f>IF(J255="","",MAX(0,1-J255/IF(PASSDOWN!$U$2="",720,PASSDOWN!$U$2)))</f>
        <v/>
      </c>
      <c r="L255" s="63" t="str">
        <f>IFERROR(INDEX(PASSDOWN!$G$11:$G$15,MATCH(C255,PASSDOWN!$A$11:$A$15,0)),"")</f>
        <v/>
      </c>
      <c r="M255" s="64" t="str">
        <f t="shared" si="6"/>
        <v/>
      </c>
      <c r="N255" s="62" t="str">
        <f t="shared" si="7"/>
        <v/>
      </c>
    </row>
    <row r="256" spans="1:14" ht="15" customHeight="1" x14ac:dyDescent="0.25">
      <c r="A256" s="61"/>
      <c r="B256" s="61"/>
      <c r="C256" s="61"/>
      <c r="D256" s="61"/>
      <c r="E256" s="61"/>
      <c r="F256" s="61"/>
      <c r="G256" s="61"/>
      <c r="H256" s="61"/>
      <c r="I256" s="61"/>
      <c r="J256" s="62" t="str">
        <f>IF(OR(A256="",B256="",C256="",G256=""),"",SUMIFS(EVENTS!$G$5:$G$204,EVENTS!$A$5:$A$204,A256,EVENTS!$B$5:$B$204,B256,EVENTS!$C$5:$C$204,C256,EVENTS!$H$5:$H$204,G256))</f>
        <v/>
      </c>
      <c r="K256" s="63" t="str">
        <f>IF(J256="","",MAX(0,1-J256/IF(PASSDOWN!$U$2="",720,PASSDOWN!$U$2)))</f>
        <v/>
      </c>
      <c r="L256" s="63" t="str">
        <f>IFERROR(INDEX(PASSDOWN!$G$11:$G$15,MATCH(C256,PASSDOWN!$A$11:$A$15,0)),"")</f>
        <v/>
      </c>
      <c r="M256" s="64" t="str">
        <f t="shared" si="6"/>
        <v/>
      </c>
      <c r="N256" s="62" t="str">
        <f t="shared" si="7"/>
        <v/>
      </c>
    </row>
    <row r="257" spans="1:14" ht="15" customHeight="1" x14ac:dyDescent="0.25">
      <c r="A257" s="61"/>
      <c r="B257" s="61"/>
      <c r="C257" s="61"/>
      <c r="D257" s="61"/>
      <c r="E257" s="61"/>
      <c r="F257" s="61"/>
      <c r="G257" s="61"/>
      <c r="H257" s="61"/>
      <c r="I257" s="61"/>
      <c r="J257" s="62" t="str">
        <f>IF(OR(A257="",B257="",C257="",G257=""),"",SUMIFS(EVENTS!$G$5:$G$204,EVENTS!$A$5:$A$204,A257,EVENTS!$B$5:$B$204,B257,EVENTS!$C$5:$C$204,C257,EVENTS!$H$5:$H$204,G257))</f>
        <v/>
      </c>
      <c r="K257" s="63" t="str">
        <f>IF(J257="","",MAX(0,1-J257/IF(PASSDOWN!$U$2="",720,PASSDOWN!$U$2)))</f>
        <v/>
      </c>
      <c r="L257" s="63" t="str">
        <f>IFERROR(INDEX(PASSDOWN!$G$11:$G$15,MATCH(C257,PASSDOWN!$A$11:$A$15,0)),"")</f>
        <v/>
      </c>
      <c r="M257" s="64" t="str">
        <f t="shared" si="6"/>
        <v/>
      </c>
      <c r="N257" s="62" t="str">
        <f t="shared" si="7"/>
        <v/>
      </c>
    </row>
    <row r="258" spans="1:14" ht="15" customHeight="1" x14ac:dyDescent="0.25">
      <c r="A258" s="61"/>
      <c r="B258" s="61"/>
      <c r="C258" s="61"/>
      <c r="D258" s="61"/>
      <c r="E258" s="61"/>
      <c r="F258" s="61"/>
      <c r="G258" s="61"/>
      <c r="H258" s="61"/>
      <c r="I258" s="61"/>
      <c r="J258" s="62" t="str">
        <f>IF(OR(A258="",B258="",C258="",G258=""),"",SUMIFS(EVENTS!$G$5:$G$204,EVENTS!$A$5:$A$204,A258,EVENTS!$B$5:$B$204,B258,EVENTS!$C$5:$C$204,C258,EVENTS!$H$5:$H$204,G258))</f>
        <v/>
      </c>
      <c r="K258" s="63" t="str">
        <f>IF(J258="","",MAX(0,1-J258/IF(PASSDOWN!$U$2="",720,PASSDOWN!$U$2)))</f>
        <v/>
      </c>
      <c r="L258" s="63" t="str">
        <f>IFERROR(INDEX(PASSDOWN!$G$11:$G$15,MATCH(C258,PASSDOWN!$A$11:$A$15,0)),"")</f>
        <v/>
      </c>
      <c r="M258" s="64" t="str">
        <f t="shared" si="6"/>
        <v/>
      </c>
      <c r="N258" s="62" t="str">
        <f t="shared" si="7"/>
        <v/>
      </c>
    </row>
    <row r="259" spans="1:14" ht="15" customHeight="1" x14ac:dyDescent="0.25">
      <c r="A259" s="61"/>
      <c r="B259" s="61"/>
      <c r="C259" s="61"/>
      <c r="D259" s="61"/>
      <c r="E259" s="61"/>
      <c r="F259" s="61"/>
      <c r="G259" s="61"/>
      <c r="H259" s="61"/>
      <c r="I259" s="61"/>
      <c r="J259" s="62" t="str">
        <f>IF(OR(A259="",B259="",C259="",G259=""),"",SUMIFS(EVENTS!$G$5:$G$204,EVENTS!$A$5:$A$204,A259,EVENTS!$B$5:$B$204,B259,EVENTS!$C$5:$C$204,C259,EVENTS!$H$5:$H$204,G259))</f>
        <v/>
      </c>
      <c r="K259" s="63" t="str">
        <f>IF(J259="","",MAX(0,1-J259/IF(PASSDOWN!$U$2="",720,PASSDOWN!$U$2)))</f>
        <v/>
      </c>
      <c r="L259" s="63" t="str">
        <f>IFERROR(INDEX(PASSDOWN!$G$11:$G$15,MATCH(C259,PASSDOWN!$A$11:$A$15,0)),"")</f>
        <v/>
      </c>
      <c r="M259" s="64" t="str">
        <f t="shared" ref="M259:M322" si="8">IF(OR(K259="",L259=""),"",ROUND(100*K259*IF(L259&gt;1,L259/100,L259),0))</f>
        <v/>
      </c>
      <c r="N259" s="62" t="str">
        <f t="shared" ref="N259:N322" si="9">IF(M259="","",IF(M259&gt;=90,"A",IF(M259&gt;=80,"B",IF(M259&gt;=70,"C",IF(M259&gt;=60,"D","F")))))</f>
        <v/>
      </c>
    </row>
    <row r="260" spans="1:14" ht="15" customHeight="1" x14ac:dyDescent="0.25">
      <c r="A260" s="61"/>
      <c r="B260" s="61"/>
      <c r="C260" s="61"/>
      <c r="D260" s="61"/>
      <c r="E260" s="61"/>
      <c r="F260" s="61"/>
      <c r="G260" s="61"/>
      <c r="H260" s="61"/>
      <c r="I260" s="61"/>
      <c r="J260" s="62" t="str">
        <f>IF(OR(A260="",B260="",C260="",G260=""),"",SUMIFS(EVENTS!$G$5:$G$204,EVENTS!$A$5:$A$204,A260,EVENTS!$B$5:$B$204,B260,EVENTS!$C$5:$C$204,C260,EVENTS!$H$5:$H$204,G260))</f>
        <v/>
      </c>
      <c r="K260" s="63" t="str">
        <f>IF(J260="","",MAX(0,1-J260/IF(PASSDOWN!$U$2="",720,PASSDOWN!$U$2)))</f>
        <v/>
      </c>
      <c r="L260" s="63" t="str">
        <f>IFERROR(INDEX(PASSDOWN!$G$11:$G$15,MATCH(C260,PASSDOWN!$A$11:$A$15,0)),"")</f>
        <v/>
      </c>
      <c r="M260" s="64" t="str">
        <f t="shared" si="8"/>
        <v/>
      </c>
      <c r="N260" s="62" t="str">
        <f t="shared" si="9"/>
        <v/>
      </c>
    </row>
    <row r="261" spans="1:14" ht="15" customHeight="1" x14ac:dyDescent="0.25">
      <c r="A261" s="61"/>
      <c r="B261" s="61"/>
      <c r="C261" s="61"/>
      <c r="D261" s="61"/>
      <c r="E261" s="61"/>
      <c r="F261" s="61"/>
      <c r="G261" s="61"/>
      <c r="H261" s="61"/>
      <c r="I261" s="61"/>
      <c r="J261" s="62" t="str">
        <f>IF(OR(A261="",B261="",C261="",G261=""),"",SUMIFS(EVENTS!$G$5:$G$204,EVENTS!$A$5:$A$204,A261,EVENTS!$B$5:$B$204,B261,EVENTS!$C$5:$C$204,C261,EVENTS!$H$5:$H$204,G261))</f>
        <v/>
      </c>
      <c r="K261" s="63" t="str">
        <f>IF(J261="","",MAX(0,1-J261/IF(PASSDOWN!$U$2="",720,PASSDOWN!$U$2)))</f>
        <v/>
      </c>
      <c r="L261" s="63" t="str">
        <f>IFERROR(INDEX(PASSDOWN!$G$11:$G$15,MATCH(C261,PASSDOWN!$A$11:$A$15,0)),"")</f>
        <v/>
      </c>
      <c r="M261" s="64" t="str">
        <f t="shared" si="8"/>
        <v/>
      </c>
      <c r="N261" s="62" t="str">
        <f t="shared" si="9"/>
        <v/>
      </c>
    </row>
    <row r="262" spans="1:14" ht="15" customHeight="1" x14ac:dyDescent="0.25">
      <c r="A262" s="61"/>
      <c r="B262" s="61"/>
      <c r="C262" s="61"/>
      <c r="D262" s="61"/>
      <c r="E262" s="61"/>
      <c r="F262" s="61"/>
      <c r="G262" s="61"/>
      <c r="H262" s="61"/>
      <c r="I262" s="61"/>
      <c r="J262" s="62" t="str">
        <f>IF(OR(A262="",B262="",C262="",G262=""),"",SUMIFS(EVENTS!$G$5:$G$204,EVENTS!$A$5:$A$204,A262,EVENTS!$B$5:$B$204,B262,EVENTS!$C$5:$C$204,C262,EVENTS!$H$5:$H$204,G262))</f>
        <v/>
      </c>
      <c r="K262" s="63" t="str">
        <f>IF(J262="","",MAX(0,1-J262/IF(PASSDOWN!$U$2="",720,PASSDOWN!$U$2)))</f>
        <v/>
      </c>
      <c r="L262" s="63" t="str">
        <f>IFERROR(INDEX(PASSDOWN!$G$11:$G$15,MATCH(C262,PASSDOWN!$A$11:$A$15,0)),"")</f>
        <v/>
      </c>
      <c r="M262" s="64" t="str">
        <f t="shared" si="8"/>
        <v/>
      </c>
      <c r="N262" s="62" t="str">
        <f t="shared" si="9"/>
        <v/>
      </c>
    </row>
    <row r="263" spans="1:14" ht="15" customHeight="1" x14ac:dyDescent="0.25">
      <c r="A263" s="61"/>
      <c r="B263" s="61"/>
      <c r="C263" s="61"/>
      <c r="D263" s="61"/>
      <c r="E263" s="61"/>
      <c r="F263" s="61"/>
      <c r="G263" s="61"/>
      <c r="H263" s="61"/>
      <c r="I263" s="61"/>
      <c r="J263" s="62" t="str">
        <f>IF(OR(A263="",B263="",C263="",G263=""),"",SUMIFS(EVENTS!$G$5:$G$204,EVENTS!$A$5:$A$204,A263,EVENTS!$B$5:$B$204,B263,EVENTS!$C$5:$C$204,C263,EVENTS!$H$5:$H$204,G263))</f>
        <v/>
      </c>
      <c r="K263" s="63" t="str">
        <f>IF(J263="","",MAX(0,1-J263/IF(PASSDOWN!$U$2="",720,PASSDOWN!$U$2)))</f>
        <v/>
      </c>
      <c r="L263" s="63" t="str">
        <f>IFERROR(INDEX(PASSDOWN!$G$11:$G$15,MATCH(C263,PASSDOWN!$A$11:$A$15,0)),"")</f>
        <v/>
      </c>
      <c r="M263" s="64" t="str">
        <f t="shared" si="8"/>
        <v/>
      </c>
      <c r="N263" s="62" t="str">
        <f t="shared" si="9"/>
        <v/>
      </c>
    </row>
    <row r="264" spans="1:14" ht="15" customHeight="1" x14ac:dyDescent="0.25">
      <c r="A264" s="61"/>
      <c r="B264" s="61"/>
      <c r="C264" s="61"/>
      <c r="D264" s="61"/>
      <c r="E264" s="61"/>
      <c r="F264" s="61"/>
      <c r="G264" s="61"/>
      <c r="H264" s="61"/>
      <c r="I264" s="61"/>
      <c r="J264" s="62" t="str">
        <f>IF(OR(A264="",B264="",C264="",G264=""),"",SUMIFS(EVENTS!$G$5:$G$204,EVENTS!$A$5:$A$204,A264,EVENTS!$B$5:$B$204,B264,EVENTS!$C$5:$C$204,C264,EVENTS!$H$5:$H$204,G264))</f>
        <v/>
      </c>
      <c r="K264" s="63" t="str">
        <f>IF(J264="","",MAX(0,1-J264/IF(PASSDOWN!$U$2="",720,PASSDOWN!$U$2)))</f>
        <v/>
      </c>
      <c r="L264" s="63" t="str">
        <f>IFERROR(INDEX(PASSDOWN!$G$11:$G$15,MATCH(C264,PASSDOWN!$A$11:$A$15,0)),"")</f>
        <v/>
      </c>
      <c r="M264" s="64" t="str">
        <f t="shared" si="8"/>
        <v/>
      </c>
      <c r="N264" s="62" t="str">
        <f t="shared" si="9"/>
        <v/>
      </c>
    </row>
    <row r="265" spans="1:14" ht="15" customHeight="1" x14ac:dyDescent="0.25">
      <c r="A265" s="61"/>
      <c r="B265" s="61"/>
      <c r="C265" s="61"/>
      <c r="D265" s="61"/>
      <c r="E265" s="61"/>
      <c r="F265" s="61"/>
      <c r="G265" s="61"/>
      <c r="H265" s="61"/>
      <c r="I265" s="61"/>
      <c r="J265" s="62" t="str">
        <f>IF(OR(A265="",B265="",C265="",G265=""),"",SUMIFS(EVENTS!$G$5:$G$204,EVENTS!$A$5:$A$204,A265,EVENTS!$B$5:$B$204,B265,EVENTS!$C$5:$C$204,C265,EVENTS!$H$5:$H$204,G265))</f>
        <v/>
      </c>
      <c r="K265" s="63" t="str">
        <f>IF(J265="","",MAX(0,1-J265/IF(PASSDOWN!$U$2="",720,PASSDOWN!$U$2)))</f>
        <v/>
      </c>
      <c r="L265" s="63" t="str">
        <f>IFERROR(INDEX(PASSDOWN!$G$11:$G$15,MATCH(C265,PASSDOWN!$A$11:$A$15,0)),"")</f>
        <v/>
      </c>
      <c r="M265" s="64" t="str">
        <f t="shared" si="8"/>
        <v/>
      </c>
      <c r="N265" s="62" t="str">
        <f t="shared" si="9"/>
        <v/>
      </c>
    </row>
    <row r="266" spans="1:14" ht="15" customHeight="1" x14ac:dyDescent="0.25">
      <c r="A266" s="61"/>
      <c r="B266" s="61"/>
      <c r="C266" s="61"/>
      <c r="D266" s="61"/>
      <c r="E266" s="61"/>
      <c r="F266" s="61"/>
      <c r="G266" s="61"/>
      <c r="H266" s="61"/>
      <c r="I266" s="61"/>
      <c r="J266" s="62" t="str">
        <f>IF(OR(A266="",B266="",C266="",G266=""),"",SUMIFS(EVENTS!$G$5:$G$204,EVENTS!$A$5:$A$204,A266,EVENTS!$B$5:$B$204,B266,EVENTS!$C$5:$C$204,C266,EVENTS!$H$5:$H$204,G266))</f>
        <v/>
      </c>
      <c r="K266" s="63" t="str">
        <f>IF(J266="","",MAX(0,1-J266/IF(PASSDOWN!$U$2="",720,PASSDOWN!$U$2)))</f>
        <v/>
      </c>
      <c r="L266" s="63" t="str">
        <f>IFERROR(INDEX(PASSDOWN!$G$11:$G$15,MATCH(C266,PASSDOWN!$A$11:$A$15,0)),"")</f>
        <v/>
      </c>
      <c r="M266" s="64" t="str">
        <f t="shared" si="8"/>
        <v/>
      </c>
      <c r="N266" s="62" t="str">
        <f t="shared" si="9"/>
        <v/>
      </c>
    </row>
    <row r="267" spans="1:14" ht="15" customHeight="1" x14ac:dyDescent="0.25">
      <c r="A267" s="61"/>
      <c r="B267" s="61"/>
      <c r="C267" s="61"/>
      <c r="D267" s="61"/>
      <c r="E267" s="61"/>
      <c r="F267" s="61"/>
      <c r="G267" s="61"/>
      <c r="H267" s="61"/>
      <c r="I267" s="61"/>
      <c r="J267" s="62" t="str">
        <f>IF(OR(A267="",B267="",C267="",G267=""),"",SUMIFS(EVENTS!$G$5:$G$204,EVENTS!$A$5:$A$204,A267,EVENTS!$B$5:$B$204,B267,EVENTS!$C$5:$C$204,C267,EVENTS!$H$5:$H$204,G267))</f>
        <v/>
      </c>
      <c r="K267" s="63" t="str">
        <f>IF(J267="","",MAX(0,1-J267/IF(PASSDOWN!$U$2="",720,PASSDOWN!$U$2)))</f>
        <v/>
      </c>
      <c r="L267" s="63" t="str">
        <f>IFERROR(INDEX(PASSDOWN!$G$11:$G$15,MATCH(C267,PASSDOWN!$A$11:$A$15,0)),"")</f>
        <v/>
      </c>
      <c r="M267" s="64" t="str">
        <f t="shared" si="8"/>
        <v/>
      </c>
      <c r="N267" s="62" t="str">
        <f t="shared" si="9"/>
        <v/>
      </c>
    </row>
    <row r="268" spans="1:14" ht="15" customHeight="1" x14ac:dyDescent="0.25">
      <c r="A268" s="61"/>
      <c r="B268" s="61"/>
      <c r="C268" s="61"/>
      <c r="D268" s="61"/>
      <c r="E268" s="61"/>
      <c r="F268" s="61"/>
      <c r="G268" s="61"/>
      <c r="H268" s="61"/>
      <c r="I268" s="61"/>
      <c r="J268" s="62" t="str">
        <f>IF(OR(A268="",B268="",C268="",G268=""),"",SUMIFS(EVENTS!$G$5:$G$204,EVENTS!$A$5:$A$204,A268,EVENTS!$B$5:$B$204,B268,EVENTS!$C$5:$C$204,C268,EVENTS!$H$5:$H$204,G268))</f>
        <v/>
      </c>
      <c r="K268" s="63" t="str">
        <f>IF(J268="","",MAX(0,1-J268/IF(PASSDOWN!$U$2="",720,PASSDOWN!$U$2)))</f>
        <v/>
      </c>
      <c r="L268" s="63" t="str">
        <f>IFERROR(INDEX(PASSDOWN!$G$11:$G$15,MATCH(C268,PASSDOWN!$A$11:$A$15,0)),"")</f>
        <v/>
      </c>
      <c r="M268" s="64" t="str">
        <f t="shared" si="8"/>
        <v/>
      </c>
      <c r="N268" s="62" t="str">
        <f t="shared" si="9"/>
        <v/>
      </c>
    </row>
    <row r="269" spans="1:14" ht="15" customHeight="1" x14ac:dyDescent="0.25">
      <c r="A269" s="61"/>
      <c r="B269" s="61"/>
      <c r="C269" s="61"/>
      <c r="D269" s="61"/>
      <c r="E269" s="61"/>
      <c r="F269" s="61"/>
      <c r="G269" s="61"/>
      <c r="H269" s="61"/>
      <c r="I269" s="61"/>
      <c r="J269" s="62" t="str">
        <f>IF(OR(A269="",B269="",C269="",G269=""),"",SUMIFS(EVENTS!$G$5:$G$204,EVENTS!$A$5:$A$204,A269,EVENTS!$B$5:$B$204,B269,EVENTS!$C$5:$C$204,C269,EVENTS!$H$5:$H$204,G269))</f>
        <v/>
      </c>
      <c r="K269" s="63" t="str">
        <f>IF(J269="","",MAX(0,1-J269/IF(PASSDOWN!$U$2="",720,PASSDOWN!$U$2)))</f>
        <v/>
      </c>
      <c r="L269" s="63" t="str">
        <f>IFERROR(INDEX(PASSDOWN!$G$11:$G$15,MATCH(C269,PASSDOWN!$A$11:$A$15,0)),"")</f>
        <v/>
      </c>
      <c r="M269" s="64" t="str">
        <f t="shared" si="8"/>
        <v/>
      </c>
      <c r="N269" s="62" t="str">
        <f t="shared" si="9"/>
        <v/>
      </c>
    </row>
    <row r="270" spans="1:14" ht="15" customHeight="1" x14ac:dyDescent="0.25">
      <c r="A270" s="61"/>
      <c r="B270" s="61"/>
      <c r="C270" s="61"/>
      <c r="D270" s="61"/>
      <c r="E270" s="61"/>
      <c r="F270" s="61"/>
      <c r="G270" s="61"/>
      <c r="H270" s="61"/>
      <c r="I270" s="61"/>
      <c r="J270" s="62" t="str">
        <f>IF(OR(A270="",B270="",C270="",G270=""),"",SUMIFS(EVENTS!$G$5:$G$204,EVENTS!$A$5:$A$204,A270,EVENTS!$B$5:$B$204,B270,EVENTS!$C$5:$C$204,C270,EVENTS!$H$5:$H$204,G270))</f>
        <v/>
      </c>
      <c r="K270" s="63" t="str">
        <f>IF(J270="","",MAX(0,1-J270/IF(PASSDOWN!$U$2="",720,PASSDOWN!$U$2)))</f>
        <v/>
      </c>
      <c r="L270" s="63" t="str">
        <f>IFERROR(INDEX(PASSDOWN!$G$11:$G$15,MATCH(C270,PASSDOWN!$A$11:$A$15,0)),"")</f>
        <v/>
      </c>
      <c r="M270" s="64" t="str">
        <f t="shared" si="8"/>
        <v/>
      </c>
      <c r="N270" s="62" t="str">
        <f t="shared" si="9"/>
        <v/>
      </c>
    </row>
    <row r="271" spans="1:14" ht="15" customHeight="1" x14ac:dyDescent="0.25">
      <c r="A271" s="61"/>
      <c r="B271" s="61"/>
      <c r="C271" s="61"/>
      <c r="D271" s="61"/>
      <c r="E271" s="61"/>
      <c r="F271" s="61"/>
      <c r="G271" s="61"/>
      <c r="H271" s="61"/>
      <c r="I271" s="61"/>
      <c r="J271" s="62" t="str">
        <f>IF(OR(A271="",B271="",C271="",G271=""),"",SUMIFS(EVENTS!$G$5:$G$204,EVENTS!$A$5:$A$204,A271,EVENTS!$B$5:$B$204,B271,EVENTS!$C$5:$C$204,C271,EVENTS!$H$5:$H$204,G271))</f>
        <v/>
      </c>
      <c r="K271" s="63" t="str">
        <f>IF(J271="","",MAX(0,1-J271/IF(PASSDOWN!$U$2="",720,PASSDOWN!$U$2)))</f>
        <v/>
      </c>
      <c r="L271" s="63" t="str">
        <f>IFERROR(INDEX(PASSDOWN!$G$11:$G$15,MATCH(C271,PASSDOWN!$A$11:$A$15,0)),"")</f>
        <v/>
      </c>
      <c r="M271" s="64" t="str">
        <f t="shared" si="8"/>
        <v/>
      </c>
      <c r="N271" s="62" t="str">
        <f t="shared" si="9"/>
        <v/>
      </c>
    </row>
    <row r="272" spans="1:14" ht="15" customHeight="1" x14ac:dyDescent="0.25">
      <c r="A272" s="61"/>
      <c r="B272" s="61"/>
      <c r="C272" s="61"/>
      <c r="D272" s="61"/>
      <c r="E272" s="61"/>
      <c r="F272" s="61"/>
      <c r="G272" s="61"/>
      <c r="H272" s="61"/>
      <c r="I272" s="61"/>
      <c r="J272" s="62" t="str">
        <f>IF(OR(A272="",B272="",C272="",G272=""),"",SUMIFS(EVENTS!$G$5:$G$204,EVENTS!$A$5:$A$204,A272,EVENTS!$B$5:$B$204,B272,EVENTS!$C$5:$C$204,C272,EVENTS!$H$5:$H$204,G272))</f>
        <v/>
      </c>
      <c r="K272" s="63" t="str">
        <f>IF(J272="","",MAX(0,1-J272/IF(PASSDOWN!$U$2="",720,PASSDOWN!$U$2)))</f>
        <v/>
      </c>
      <c r="L272" s="63" t="str">
        <f>IFERROR(INDEX(PASSDOWN!$G$11:$G$15,MATCH(C272,PASSDOWN!$A$11:$A$15,0)),"")</f>
        <v/>
      </c>
      <c r="M272" s="64" t="str">
        <f t="shared" si="8"/>
        <v/>
      </c>
      <c r="N272" s="62" t="str">
        <f t="shared" si="9"/>
        <v/>
      </c>
    </row>
    <row r="273" spans="1:14" ht="15" customHeight="1" x14ac:dyDescent="0.25">
      <c r="A273" s="61"/>
      <c r="B273" s="61"/>
      <c r="C273" s="61"/>
      <c r="D273" s="61"/>
      <c r="E273" s="61"/>
      <c r="F273" s="61"/>
      <c r="G273" s="61"/>
      <c r="H273" s="61"/>
      <c r="I273" s="61"/>
      <c r="J273" s="62" t="str">
        <f>IF(OR(A273="",B273="",C273="",G273=""),"",SUMIFS(EVENTS!$G$5:$G$204,EVENTS!$A$5:$A$204,A273,EVENTS!$B$5:$B$204,B273,EVENTS!$C$5:$C$204,C273,EVENTS!$H$5:$H$204,G273))</f>
        <v/>
      </c>
      <c r="K273" s="63" t="str">
        <f>IF(J273="","",MAX(0,1-J273/IF(PASSDOWN!$U$2="",720,PASSDOWN!$U$2)))</f>
        <v/>
      </c>
      <c r="L273" s="63" t="str">
        <f>IFERROR(INDEX(PASSDOWN!$G$11:$G$15,MATCH(C273,PASSDOWN!$A$11:$A$15,0)),"")</f>
        <v/>
      </c>
      <c r="M273" s="64" t="str">
        <f t="shared" si="8"/>
        <v/>
      </c>
      <c r="N273" s="62" t="str">
        <f t="shared" si="9"/>
        <v/>
      </c>
    </row>
    <row r="274" spans="1:14" ht="15" customHeight="1" x14ac:dyDescent="0.25">
      <c r="A274" s="61"/>
      <c r="B274" s="61"/>
      <c r="C274" s="61"/>
      <c r="D274" s="61"/>
      <c r="E274" s="61"/>
      <c r="F274" s="61"/>
      <c r="G274" s="61"/>
      <c r="H274" s="61"/>
      <c r="I274" s="61"/>
      <c r="J274" s="62" t="str">
        <f>IF(OR(A274="",B274="",C274="",G274=""),"",SUMIFS(EVENTS!$G$5:$G$204,EVENTS!$A$5:$A$204,A274,EVENTS!$B$5:$B$204,B274,EVENTS!$C$5:$C$204,C274,EVENTS!$H$5:$H$204,G274))</f>
        <v/>
      </c>
      <c r="K274" s="63" t="str">
        <f>IF(J274="","",MAX(0,1-J274/IF(PASSDOWN!$U$2="",720,PASSDOWN!$U$2)))</f>
        <v/>
      </c>
      <c r="L274" s="63" t="str">
        <f>IFERROR(INDEX(PASSDOWN!$G$11:$G$15,MATCH(C274,PASSDOWN!$A$11:$A$15,0)),"")</f>
        <v/>
      </c>
      <c r="M274" s="64" t="str">
        <f t="shared" si="8"/>
        <v/>
      </c>
      <c r="N274" s="62" t="str">
        <f t="shared" si="9"/>
        <v/>
      </c>
    </row>
    <row r="275" spans="1:14" ht="15" customHeight="1" x14ac:dyDescent="0.25">
      <c r="A275" s="61"/>
      <c r="B275" s="61"/>
      <c r="C275" s="61"/>
      <c r="D275" s="61"/>
      <c r="E275" s="61"/>
      <c r="F275" s="61"/>
      <c r="G275" s="61"/>
      <c r="H275" s="61"/>
      <c r="I275" s="61"/>
      <c r="J275" s="62" t="str">
        <f>IF(OR(A275="",B275="",C275="",G275=""),"",SUMIFS(EVENTS!$G$5:$G$204,EVENTS!$A$5:$A$204,A275,EVENTS!$B$5:$B$204,B275,EVENTS!$C$5:$C$204,C275,EVENTS!$H$5:$H$204,G275))</f>
        <v/>
      </c>
      <c r="K275" s="63" t="str">
        <f>IF(J275="","",MAX(0,1-J275/IF(PASSDOWN!$U$2="",720,PASSDOWN!$U$2)))</f>
        <v/>
      </c>
      <c r="L275" s="63" t="str">
        <f>IFERROR(INDEX(PASSDOWN!$G$11:$G$15,MATCH(C275,PASSDOWN!$A$11:$A$15,0)),"")</f>
        <v/>
      </c>
      <c r="M275" s="64" t="str">
        <f t="shared" si="8"/>
        <v/>
      </c>
      <c r="N275" s="62" t="str">
        <f t="shared" si="9"/>
        <v/>
      </c>
    </row>
    <row r="276" spans="1:14" ht="15" customHeight="1" x14ac:dyDescent="0.25">
      <c r="A276" s="61"/>
      <c r="B276" s="61"/>
      <c r="C276" s="61"/>
      <c r="D276" s="61"/>
      <c r="E276" s="61"/>
      <c r="F276" s="61"/>
      <c r="G276" s="61"/>
      <c r="H276" s="61"/>
      <c r="I276" s="61"/>
      <c r="J276" s="62" t="str">
        <f>IF(OR(A276="",B276="",C276="",G276=""),"",SUMIFS(EVENTS!$G$5:$G$204,EVENTS!$A$5:$A$204,A276,EVENTS!$B$5:$B$204,B276,EVENTS!$C$5:$C$204,C276,EVENTS!$H$5:$H$204,G276))</f>
        <v/>
      </c>
      <c r="K276" s="63" t="str">
        <f>IF(J276="","",MAX(0,1-J276/IF(PASSDOWN!$U$2="",720,PASSDOWN!$U$2)))</f>
        <v/>
      </c>
      <c r="L276" s="63" t="str">
        <f>IFERROR(INDEX(PASSDOWN!$G$11:$G$15,MATCH(C276,PASSDOWN!$A$11:$A$15,0)),"")</f>
        <v/>
      </c>
      <c r="M276" s="64" t="str">
        <f t="shared" si="8"/>
        <v/>
      </c>
      <c r="N276" s="62" t="str">
        <f t="shared" si="9"/>
        <v/>
      </c>
    </row>
    <row r="277" spans="1:14" ht="15" customHeight="1" x14ac:dyDescent="0.25">
      <c r="A277" s="61"/>
      <c r="B277" s="61"/>
      <c r="C277" s="61"/>
      <c r="D277" s="61"/>
      <c r="E277" s="61"/>
      <c r="F277" s="61"/>
      <c r="G277" s="61"/>
      <c r="H277" s="61"/>
      <c r="I277" s="61"/>
      <c r="J277" s="62" t="str">
        <f>IF(OR(A277="",B277="",C277="",G277=""),"",SUMIFS(EVENTS!$G$5:$G$204,EVENTS!$A$5:$A$204,A277,EVENTS!$B$5:$B$204,B277,EVENTS!$C$5:$C$204,C277,EVENTS!$H$5:$H$204,G277))</f>
        <v/>
      </c>
      <c r="K277" s="63" t="str">
        <f>IF(J277="","",MAX(0,1-J277/IF(PASSDOWN!$U$2="",720,PASSDOWN!$U$2)))</f>
        <v/>
      </c>
      <c r="L277" s="63" t="str">
        <f>IFERROR(INDEX(PASSDOWN!$G$11:$G$15,MATCH(C277,PASSDOWN!$A$11:$A$15,0)),"")</f>
        <v/>
      </c>
      <c r="M277" s="64" t="str">
        <f t="shared" si="8"/>
        <v/>
      </c>
      <c r="N277" s="62" t="str">
        <f t="shared" si="9"/>
        <v/>
      </c>
    </row>
    <row r="278" spans="1:14" ht="15" customHeight="1" x14ac:dyDescent="0.25">
      <c r="A278" s="61"/>
      <c r="B278" s="61"/>
      <c r="C278" s="61"/>
      <c r="D278" s="61"/>
      <c r="E278" s="61"/>
      <c r="F278" s="61"/>
      <c r="G278" s="61"/>
      <c r="H278" s="61"/>
      <c r="I278" s="61"/>
      <c r="J278" s="62" t="str">
        <f>IF(OR(A278="",B278="",C278="",G278=""),"",SUMIFS(EVENTS!$G$5:$G$204,EVENTS!$A$5:$A$204,A278,EVENTS!$B$5:$B$204,B278,EVENTS!$C$5:$C$204,C278,EVENTS!$H$5:$H$204,G278))</f>
        <v/>
      </c>
      <c r="K278" s="63" t="str">
        <f>IF(J278="","",MAX(0,1-J278/IF(PASSDOWN!$U$2="",720,PASSDOWN!$U$2)))</f>
        <v/>
      </c>
      <c r="L278" s="63" t="str">
        <f>IFERROR(INDEX(PASSDOWN!$G$11:$G$15,MATCH(C278,PASSDOWN!$A$11:$A$15,0)),"")</f>
        <v/>
      </c>
      <c r="M278" s="64" t="str">
        <f t="shared" si="8"/>
        <v/>
      </c>
      <c r="N278" s="62" t="str">
        <f t="shared" si="9"/>
        <v/>
      </c>
    </row>
    <row r="279" spans="1:14" ht="15" customHeight="1" x14ac:dyDescent="0.25">
      <c r="A279" s="61"/>
      <c r="B279" s="61"/>
      <c r="C279" s="61"/>
      <c r="D279" s="61"/>
      <c r="E279" s="61"/>
      <c r="F279" s="61"/>
      <c r="G279" s="61"/>
      <c r="H279" s="61"/>
      <c r="I279" s="61"/>
      <c r="J279" s="62" t="str">
        <f>IF(OR(A279="",B279="",C279="",G279=""),"",SUMIFS(EVENTS!$G$5:$G$204,EVENTS!$A$5:$A$204,A279,EVENTS!$B$5:$B$204,B279,EVENTS!$C$5:$C$204,C279,EVENTS!$H$5:$H$204,G279))</f>
        <v/>
      </c>
      <c r="K279" s="63" t="str">
        <f>IF(J279="","",MAX(0,1-J279/IF(PASSDOWN!$U$2="",720,PASSDOWN!$U$2)))</f>
        <v/>
      </c>
      <c r="L279" s="63" t="str">
        <f>IFERROR(INDEX(PASSDOWN!$G$11:$G$15,MATCH(C279,PASSDOWN!$A$11:$A$15,0)),"")</f>
        <v/>
      </c>
      <c r="M279" s="64" t="str">
        <f t="shared" si="8"/>
        <v/>
      </c>
      <c r="N279" s="62" t="str">
        <f t="shared" si="9"/>
        <v/>
      </c>
    </row>
    <row r="280" spans="1:14" ht="15" customHeight="1" x14ac:dyDescent="0.25">
      <c r="A280" s="61"/>
      <c r="B280" s="61"/>
      <c r="C280" s="61"/>
      <c r="D280" s="61"/>
      <c r="E280" s="61"/>
      <c r="F280" s="61"/>
      <c r="G280" s="61"/>
      <c r="H280" s="61"/>
      <c r="I280" s="61"/>
      <c r="J280" s="62" t="str">
        <f>IF(OR(A280="",B280="",C280="",G280=""),"",SUMIFS(EVENTS!$G$5:$G$204,EVENTS!$A$5:$A$204,A280,EVENTS!$B$5:$B$204,B280,EVENTS!$C$5:$C$204,C280,EVENTS!$H$5:$H$204,G280))</f>
        <v/>
      </c>
      <c r="K280" s="63" t="str">
        <f>IF(J280="","",MAX(0,1-J280/IF(PASSDOWN!$U$2="",720,PASSDOWN!$U$2)))</f>
        <v/>
      </c>
      <c r="L280" s="63" t="str">
        <f>IFERROR(INDEX(PASSDOWN!$G$11:$G$15,MATCH(C280,PASSDOWN!$A$11:$A$15,0)),"")</f>
        <v/>
      </c>
      <c r="M280" s="64" t="str">
        <f t="shared" si="8"/>
        <v/>
      </c>
      <c r="N280" s="62" t="str">
        <f t="shared" si="9"/>
        <v/>
      </c>
    </row>
    <row r="281" spans="1:14" ht="15" customHeight="1" x14ac:dyDescent="0.25">
      <c r="A281" s="61"/>
      <c r="B281" s="61"/>
      <c r="C281" s="61"/>
      <c r="D281" s="61"/>
      <c r="E281" s="61"/>
      <c r="F281" s="61"/>
      <c r="G281" s="61"/>
      <c r="H281" s="61"/>
      <c r="I281" s="61"/>
      <c r="J281" s="62" t="str">
        <f>IF(OR(A281="",B281="",C281="",G281=""),"",SUMIFS(EVENTS!$G$5:$G$204,EVENTS!$A$5:$A$204,A281,EVENTS!$B$5:$B$204,B281,EVENTS!$C$5:$C$204,C281,EVENTS!$H$5:$H$204,G281))</f>
        <v/>
      </c>
      <c r="K281" s="63" t="str">
        <f>IF(J281="","",MAX(0,1-J281/IF(PASSDOWN!$U$2="",720,PASSDOWN!$U$2)))</f>
        <v/>
      </c>
      <c r="L281" s="63" t="str">
        <f>IFERROR(INDEX(PASSDOWN!$G$11:$G$15,MATCH(C281,PASSDOWN!$A$11:$A$15,0)),"")</f>
        <v/>
      </c>
      <c r="M281" s="64" t="str">
        <f t="shared" si="8"/>
        <v/>
      </c>
      <c r="N281" s="62" t="str">
        <f t="shared" si="9"/>
        <v/>
      </c>
    </row>
    <row r="282" spans="1:14" ht="15" customHeight="1" x14ac:dyDescent="0.25">
      <c r="A282" s="61"/>
      <c r="B282" s="61"/>
      <c r="C282" s="61"/>
      <c r="D282" s="61"/>
      <c r="E282" s="61"/>
      <c r="F282" s="61"/>
      <c r="G282" s="61"/>
      <c r="H282" s="61"/>
      <c r="I282" s="61"/>
      <c r="J282" s="62" t="str">
        <f>IF(OR(A282="",B282="",C282="",G282=""),"",SUMIFS(EVENTS!$G$5:$G$204,EVENTS!$A$5:$A$204,A282,EVENTS!$B$5:$B$204,B282,EVENTS!$C$5:$C$204,C282,EVENTS!$H$5:$H$204,G282))</f>
        <v/>
      </c>
      <c r="K282" s="63" t="str">
        <f>IF(J282="","",MAX(0,1-J282/IF(PASSDOWN!$U$2="",720,PASSDOWN!$U$2)))</f>
        <v/>
      </c>
      <c r="L282" s="63" t="str">
        <f>IFERROR(INDEX(PASSDOWN!$G$11:$G$15,MATCH(C282,PASSDOWN!$A$11:$A$15,0)),"")</f>
        <v/>
      </c>
      <c r="M282" s="64" t="str">
        <f t="shared" si="8"/>
        <v/>
      </c>
      <c r="N282" s="62" t="str">
        <f t="shared" si="9"/>
        <v/>
      </c>
    </row>
    <row r="283" spans="1:14" ht="15" customHeight="1" x14ac:dyDescent="0.25">
      <c r="A283" s="61"/>
      <c r="B283" s="61"/>
      <c r="C283" s="61"/>
      <c r="D283" s="61"/>
      <c r="E283" s="61"/>
      <c r="F283" s="61"/>
      <c r="G283" s="61"/>
      <c r="H283" s="61"/>
      <c r="I283" s="61"/>
      <c r="J283" s="62" t="str">
        <f>IF(OR(A283="",B283="",C283="",G283=""),"",SUMIFS(EVENTS!$G$5:$G$204,EVENTS!$A$5:$A$204,A283,EVENTS!$B$5:$B$204,B283,EVENTS!$C$5:$C$204,C283,EVENTS!$H$5:$H$204,G283))</f>
        <v/>
      </c>
      <c r="K283" s="63" t="str">
        <f>IF(J283="","",MAX(0,1-J283/IF(PASSDOWN!$U$2="",720,PASSDOWN!$U$2)))</f>
        <v/>
      </c>
      <c r="L283" s="63" t="str">
        <f>IFERROR(INDEX(PASSDOWN!$G$11:$G$15,MATCH(C283,PASSDOWN!$A$11:$A$15,0)),"")</f>
        <v/>
      </c>
      <c r="M283" s="64" t="str">
        <f t="shared" si="8"/>
        <v/>
      </c>
      <c r="N283" s="62" t="str">
        <f t="shared" si="9"/>
        <v/>
      </c>
    </row>
    <row r="284" spans="1:14" ht="15" customHeight="1" x14ac:dyDescent="0.25">
      <c r="A284" s="61"/>
      <c r="B284" s="61"/>
      <c r="C284" s="61"/>
      <c r="D284" s="61"/>
      <c r="E284" s="61"/>
      <c r="F284" s="61"/>
      <c r="G284" s="61"/>
      <c r="H284" s="61"/>
      <c r="I284" s="61"/>
      <c r="J284" s="62" t="str">
        <f>IF(OR(A284="",B284="",C284="",G284=""),"",SUMIFS(EVENTS!$G$5:$G$204,EVENTS!$A$5:$A$204,A284,EVENTS!$B$5:$B$204,B284,EVENTS!$C$5:$C$204,C284,EVENTS!$H$5:$H$204,G284))</f>
        <v/>
      </c>
      <c r="K284" s="63" t="str">
        <f>IF(J284="","",MAX(0,1-J284/IF(PASSDOWN!$U$2="",720,PASSDOWN!$U$2)))</f>
        <v/>
      </c>
      <c r="L284" s="63" t="str">
        <f>IFERROR(INDEX(PASSDOWN!$G$11:$G$15,MATCH(C284,PASSDOWN!$A$11:$A$15,0)),"")</f>
        <v/>
      </c>
      <c r="M284" s="64" t="str">
        <f t="shared" si="8"/>
        <v/>
      </c>
      <c r="N284" s="62" t="str">
        <f t="shared" si="9"/>
        <v/>
      </c>
    </row>
    <row r="285" spans="1:14" ht="15" customHeight="1" x14ac:dyDescent="0.25">
      <c r="A285" s="61"/>
      <c r="B285" s="61"/>
      <c r="C285" s="61"/>
      <c r="D285" s="61"/>
      <c r="E285" s="61"/>
      <c r="F285" s="61"/>
      <c r="G285" s="61"/>
      <c r="H285" s="61"/>
      <c r="I285" s="61"/>
      <c r="J285" s="62" t="str">
        <f>IF(OR(A285="",B285="",C285="",G285=""),"",SUMIFS(EVENTS!$G$5:$G$204,EVENTS!$A$5:$A$204,A285,EVENTS!$B$5:$B$204,B285,EVENTS!$C$5:$C$204,C285,EVENTS!$H$5:$H$204,G285))</f>
        <v/>
      </c>
      <c r="K285" s="63" t="str">
        <f>IF(J285="","",MAX(0,1-J285/IF(PASSDOWN!$U$2="",720,PASSDOWN!$U$2)))</f>
        <v/>
      </c>
      <c r="L285" s="63" t="str">
        <f>IFERROR(INDEX(PASSDOWN!$G$11:$G$15,MATCH(C285,PASSDOWN!$A$11:$A$15,0)),"")</f>
        <v/>
      </c>
      <c r="M285" s="64" t="str">
        <f t="shared" si="8"/>
        <v/>
      </c>
      <c r="N285" s="62" t="str">
        <f t="shared" si="9"/>
        <v/>
      </c>
    </row>
    <row r="286" spans="1:14" ht="15" customHeight="1" x14ac:dyDescent="0.25">
      <c r="A286" s="61"/>
      <c r="B286" s="61"/>
      <c r="C286" s="61"/>
      <c r="D286" s="61"/>
      <c r="E286" s="61"/>
      <c r="F286" s="61"/>
      <c r="G286" s="61"/>
      <c r="H286" s="61"/>
      <c r="I286" s="61"/>
      <c r="J286" s="62" t="str">
        <f>IF(OR(A286="",B286="",C286="",G286=""),"",SUMIFS(EVENTS!$G$5:$G$204,EVENTS!$A$5:$A$204,A286,EVENTS!$B$5:$B$204,B286,EVENTS!$C$5:$C$204,C286,EVENTS!$H$5:$H$204,G286))</f>
        <v/>
      </c>
      <c r="K286" s="63" t="str">
        <f>IF(J286="","",MAX(0,1-J286/IF(PASSDOWN!$U$2="",720,PASSDOWN!$U$2)))</f>
        <v/>
      </c>
      <c r="L286" s="63" t="str">
        <f>IFERROR(INDEX(PASSDOWN!$G$11:$G$15,MATCH(C286,PASSDOWN!$A$11:$A$15,0)),"")</f>
        <v/>
      </c>
      <c r="M286" s="64" t="str">
        <f t="shared" si="8"/>
        <v/>
      </c>
      <c r="N286" s="62" t="str">
        <f t="shared" si="9"/>
        <v/>
      </c>
    </row>
    <row r="287" spans="1:14" ht="15" customHeight="1" x14ac:dyDescent="0.25">
      <c r="A287" s="61"/>
      <c r="B287" s="61"/>
      <c r="C287" s="61"/>
      <c r="D287" s="61"/>
      <c r="E287" s="61"/>
      <c r="F287" s="61"/>
      <c r="G287" s="61"/>
      <c r="H287" s="61"/>
      <c r="I287" s="61"/>
      <c r="J287" s="62" t="str">
        <f>IF(OR(A287="",B287="",C287="",G287=""),"",SUMIFS(EVENTS!$G$5:$G$204,EVENTS!$A$5:$A$204,A287,EVENTS!$B$5:$B$204,B287,EVENTS!$C$5:$C$204,C287,EVENTS!$H$5:$H$204,G287))</f>
        <v/>
      </c>
      <c r="K287" s="63" t="str">
        <f>IF(J287="","",MAX(0,1-J287/IF(PASSDOWN!$U$2="",720,PASSDOWN!$U$2)))</f>
        <v/>
      </c>
      <c r="L287" s="63" t="str">
        <f>IFERROR(INDEX(PASSDOWN!$G$11:$G$15,MATCH(C287,PASSDOWN!$A$11:$A$15,0)),"")</f>
        <v/>
      </c>
      <c r="M287" s="64" t="str">
        <f t="shared" si="8"/>
        <v/>
      </c>
      <c r="N287" s="62" t="str">
        <f t="shared" si="9"/>
        <v/>
      </c>
    </row>
    <row r="288" spans="1:14" ht="15" customHeight="1" x14ac:dyDescent="0.25">
      <c r="A288" s="61"/>
      <c r="B288" s="61"/>
      <c r="C288" s="61"/>
      <c r="D288" s="61"/>
      <c r="E288" s="61"/>
      <c r="F288" s="61"/>
      <c r="G288" s="61"/>
      <c r="H288" s="61"/>
      <c r="I288" s="61"/>
      <c r="J288" s="62" t="str">
        <f>IF(OR(A288="",B288="",C288="",G288=""),"",SUMIFS(EVENTS!$G$5:$G$204,EVENTS!$A$5:$A$204,A288,EVENTS!$B$5:$B$204,B288,EVENTS!$C$5:$C$204,C288,EVENTS!$H$5:$H$204,G288))</f>
        <v/>
      </c>
      <c r="K288" s="63" t="str">
        <f>IF(J288="","",MAX(0,1-J288/IF(PASSDOWN!$U$2="",720,PASSDOWN!$U$2)))</f>
        <v/>
      </c>
      <c r="L288" s="63" t="str">
        <f>IFERROR(INDEX(PASSDOWN!$G$11:$G$15,MATCH(C288,PASSDOWN!$A$11:$A$15,0)),"")</f>
        <v/>
      </c>
      <c r="M288" s="64" t="str">
        <f t="shared" si="8"/>
        <v/>
      </c>
      <c r="N288" s="62" t="str">
        <f t="shared" si="9"/>
        <v/>
      </c>
    </row>
    <row r="289" spans="1:14" ht="15" customHeight="1" x14ac:dyDescent="0.25">
      <c r="A289" s="61"/>
      <c r="B289" s="61"/>
      <c r="C289" s="61"/>
      <c r="D289" s="61"/>
      <c r="E289" s="61"/>
      <c r="F289" s="61"/>
      <c r="G289" s="61"/>
      <c r="H289" s="61"/>
      <c r="I289" s="61"/>
      <c r="J289" s="62" t="str">
        <f>IF(OR(A289="",B289="",C289="",G289=""),"",SUMIFS(EVENTS!$G$5:$G$204,EVENTS!$A$5:$A$204,A289,EVENTS!$B$5:$B$204,B289,EVENTS!$C$5:$C$204,C289,EVENTS!$H$5:$H$204,G289))</f>
        <v/>
      </c>
      <c r="K289" s="63" t="str">
        <f>IF(J289="","",MAX(0,1-J289/IF(PASSDOWN!$U$2="",720,PASSDOWN!$U$2)))</f>
        <v/>
      </c>
      <c r="L289" s="63" t="str">
        <f>IFERROR(INDEX(PASSDOWN!$G$11:$G$15,MATCH(C289,PASSDOWN!$A$11:$A$15,0)),"")</f>
        <v/>
      </c>
      <c r="M289" s="64" t="str">
        <f t="shared" si="8"/>
        <v/>
      </c>
      <c r="N289" s="62" t="str">
        <f t="shared" si="9"/>
        <v/>
      </c>
    </row>
    <row r="290" spans="1:14" ht="15" customHeight="1" x14ac:dyDescent="0.25">
      <c r="A290" s="61"/>
      <c r="B290" s="61"/>
      <c r="C290" s="61"/>
      <c r="D290" s="61"/>
      <c r="E290" s="61"/>
      <c r="F290" s="61"/>
      <c r="G290" s="61"/>
      <c r="H290" s="61"/>
      <c r="I290" s="61"/>
      <c r="J290" s="62" t="str">
        <f>IF(OR(A290="",B290="",C290="",G290=""),"",SUMIFS(EVENTS!$G$5:$G$204,EVENTS!$A$5:$A$204,A290,EVENTS!$B$5:$B$204,B290,EVENTS!$C$5:$C$204,C290,EVENTS!$H$5:$H$204,G290))</f>
        <v/>
      </c>
      <c r="K290" s="63" t="str">
        <f>IF(J290="","",MAX(0,1-J290/IF(PASSDOWN!$U$2="",720,PASSDOWN!$U$2)))</f>
        <v/>
      </c>
      <c r="L290" s="63" t="str">
        <f>IFERROR(INDEX(PASSDOWN!$G$11:$G$15,MATCH(C290,PASSDOWN!$A$11:$A$15,0)),"")</f>
        <v/>
      </c>
      <c r="M290" s="64" t="str">
        <f t="shared" si="8"/>
        <v/>
      </c>
      <c r="N290" s="62" t="str">
        <f t="shared" si="9"/>
        <v/>
      </c>
    </row>
    <row r="291" spans="1:14" ht="15" customHeight="1" x14ac:dyDescent="0.25">
      <c r="A291" s="61"/>
      <c r="B291" s="61"/>
      <c r="C291" s="61"/>
      <c r="D291" s="61"/>
      <c r="E291" s="61"/>
      <c r="F291" s="61"/>
      <c r="G291" s="61"/>
      <c r="H291" s="61"/>
      <c r="I291" s="61"/>
      <c r="J291" s="62" t="str">
        <f>IF(OR(A291="",B291="",C291="",G291=""),"",SUMIFS(EVENTS!$G$5:$G$204,EVENTS!$A$5:$A$204,A291,EVENTS!$B$5:$B$204,B291,EVENTS!$C$5:$C$204,C291,EVENTS!$H$5:$H$204,G291))</f>
        <v/>
      </c>
      <c r="K291" s="63" t="str">
        <f>IF(J291="","",MAX(0,1-J291/IF(PASSDOWN!$U$2="",720,PASSDOWN!$U$2)))</f>
        <v/>
      </c>
      <c r="L291" s="63" t="str">
        <f>IFERROR(INDEX(PASSDOWN!$G$11:$G$15,MATCH(C291,PASSDOWN!$A$11:$A$15,0)),"")</f>
        <v/>
      </c>
      <c r="M291" s="64" t="str">
        <f t="shared" si="8"/>
        <v/>
      </c>
      <c r="N291" s="62" t="str">
        <f t="shared" si="9"/>
        <v/>
      </c>
    </row>
    <row r="292" spans="1:14" ht="15" customHeight="1" x14ac:dyDescent="0.25">
      <c r="A292" s="61"/>
      <c r="B292" s="61"/>
      <c r="C292" s="61"/>
      <c r="D292" s="61"/>
      <c r="E292" s="61"/>
      <c r="F292" s="61"/>
      <c r="G292" s="61"/>
      <c r="H292" s="61"/>
      <c r="I292" s="61"/>
      <c r="J292" s="62" t="str">
        <f>IF(OR(A292="",B292="",C292="",G292=""),"",SUMIFS(EVENTS!$G$5:$G$204,EVENTS!$A$5:$A$204,A292,EVENTS!$B$5:$B$204,B292,EVENTS!$C$5:$C$204,C292,EVENTS!$H$5:$H$204,G292))</f>
        <v/>
      </c>
      <c r="K292" s="63" t="str">
        <f>IF(J292="","",MAX(0,1-J292/IF(PASSDOWN!$U$2="",720,PASSDOWN!$U$2)))</f>
        <v/>
      </c>
      <c r="L292" s="63" t="str">
        <f>IFERROR(INDEX(PASSDOWN!$G$11:$G$15,MATCH(C292,PASSDOWN!$A$11:$A$15,0)),"")</f>
        <v/>
      </c>
      <c r="M292" s="64" t="str">
        <f t="shared" si="8"/>
        <v/>
      </c>
      <c r="N292" s="62" t="str">
        <f t="shared" si="9"/>
        <v/>
      </c>
    </row>
    <row r="293" spans="1:14" ht="15" customHeight="1" x14ac:dyDescent="0.25">
      <c r="A293" s="61"/>
      <c r="B293" s="61"/>
      <c r="C293" s="61"/>
      <c r="D293" s="61"/>
      <c r="E293" s="61"/>
      <c r="F293" s="61"/>
      <c r="G293" s="61"/>
      <c r="H293" s="61"/>
      <c r="I293" s="61"/>
      <c r="J293" s="62" t="str">
        <f>IF(OR(A293="",B293="",C293="",G293=""),"",SUMIFS(EVENTS!$G$5:$G$204,EVENTS!$A$5:$A$204,A293,EVENTS!$B$5:$B$204,B293,EVENTS!$C$5:$C$204,C293,EVENTS!$H$5:$H$204,G293))</f>
        <v/>
      </c>
      <c r="K293" s="63" t="str">
        <f>IF(J293="","",MAX(0,1-J293/IF(PASSDOWN!$U$2="",720,PASSDOWN!$U$2)))</f>
        <v/>
      </c>
      <c r="L293" s="63" t="str">
        <f>IFERROR(INDEX(PASSDOWN!$G$11:$G$15,MATCH(C293,PASSDOWN!$A$11:$A$15,0)),"")</f>
        <v/>
      </c>
      <c r="M293" s="64" t="str">
        <f t="shared" si="8"/>
        <v/>
      </c>
      <c r="N293" s="62" t="str">
        <f t="shared" si="9"/>
        <v/>
      </c>
    </row>
    <row r="294" spans="1:14" ht="15" customHeight="1" x14ac:dyDescent="0.25">
      <c r="A294" s="61"/>
      <c r="B294" s="61"/>
      <c r="C294" s="61"/>
      <c r="D294" s="61"/>
      <c r="E294" s="61"/>
      <c r="F294" s="61"/>
      <c r="G294" s="61"/>
      <c r="H294" s="61"/>
      <c r="I294" s="61"/>
      <c r="J294" s="62" t="str">
        <f>IF(OR(A294="",B294="",C294="",G294=""),"",SUMIFS(EVENTS!$G$5:$G$204,EVENTS!$A$5:$A$204,A294,EVENTS!$B$5:$B$204,B294,EVENTS!$C$5:$C$204,C294,EVENTS!$H$5:$H$204,G294))</f>
        <v/>
      </c>
      <c r="K294" s="63" t="str">
        <f>IF(J294="","",MAX(0,1-J294/IF(PASSDOWN!$U$2="",720,PASSDOWN!$U$2)))</f>
        <v/>
      </c>
      <c r="L294" s="63" t="str">
        <f>IFERROR(INDEX(PASSDOWN!$G$11:$G$15,MATCH(C294,PASSDOWN!$A$11:$A$15,0)),"")</f>
        <v/>
      </c>
      <c r="M294" s="64" t="str">
        <f t="shared" si="8"/>
        <v/>
      </c>
      <c r="N294" s="62" t="str">
        <f t="shared" si="9"/>
        <v/>
      </c>
    </row>
    <row r="295" spans="1:14" ht="15" customHeight="1" x14ac:dyDescent="0.25">
      <c r="A295" s="61"/>
      <c r="B295" s="61"/>
      <c r="C295" s="61"/>
      <c r="D295" s="61"/>
      <c r="E295" s="61"/>
      <c r="F295" s="61"/>
      <c r="G295" s="61"/>
      <c r="H295" s="61"/>
      <c r="I295" s="61"/>
      <c r="J295" s="62" t="str">
        <f>IF(OR(A295="",B295="",C295="",G295=""),"",SUMIFS(EVENTS!$G$5:$G$204,EVENTS!$A$5:$A$204,A295,EVENTS!$B$5:$B$204,B295,EVENTS!$C$5:$C$204,C295,EVENTS!$H$5:$H$204,G295))</f>
        <v/>
      </c>
      <c r="K295" s="63" t="str">
        <f>IF(J295="","",MAX(0,1-J295/IF(PASSDOWN!$U$2="",720,PASSDOWN!$U$2)))</f>
        <v/>
      </c>
      <c r="L295" s="63" t="str">
        <f>IFERROR(INDEX(PASSDOWN!$G$11:$G$15,MATCH(C295,PASSDOWN!$A$11:$A$15,0)),"")</f>
        <v/>
      </c>
      <c r="M295" s="64" t="str">
        <f t="shared" si="8"/>
        <v/>
      </c>
      <c r="N295" s="62" t="str">
        <f t="shared" si="9"/>
        <v/>
      </c>
    </row>
    <row r="296" spans="1:14" ht="15" customHeight="1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2" t="str">
        <f>IF(OR(A296="",B296="",C296="",G296=""),"",SUMIFS(EVENTS!$G$5:$G$204,EVENTS!$A$5:$A$204,A296,EVENTS!$B$5:$B$204,B296,EVENTS!$C$5:$C$204,C296,EVENTS!$H$5:$H$204,G296))</f>
        <v/>
      </c>
      <c r="K296" s="63" t="str">
        <f>IF(J296="","",MAX(0,1-J296/IF(PASSDOWN!$U$2="",720,PASSDOWN!$U$2)))</f>
        <v/>
      </c>
      <c r="L296" s="63" t="str">
        <f>IFERROR(INDEX(PASSDOWN!$G$11:$G$15,MATCH(C296,PASSDOWN!$A$11:$A$15,0)),"")</f>
        <v/>
      </c>
      <c r="M296" s="64" t="str">
        <f t="shared" si="8"/>
        <v/>
      </c>
      <c r="N296" s="62" t="str">
        <f t="shared" si="9"/>
        <v/>
      </c>
    </row>
    <row r="297" spans="1:14" ht="15" customHeight="1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2" t="str">
        <f>IF(OR(A297="",B297="",C297="",G297=""),"",SUMIFS(EVENTS!$G$5:$G$204,EVENTS!$A$5:$A$204,A297,EVENTS!$B$5:$B$204,B297,EVENTS!$C$5:$C$204,C297,EVENTS!$H$5:$H$204,G297))</f>
        <v/>
      </c>
      <c r="K297" s="63" t="str">
        <f>IF(J297="","",MAX(0,1-J297/IF(PASSDOWN!$U$2="",720,PASSDOWN!$U$2)))</f>
        <v/>
      </c>
      <c r="L297" s="63" t="str">
        <f>IFERROR(INDEX(PASSDOWN!$G$11:$G$15,MATCH(C297,PASSDOWN!$A$11:$A$15,0)),"")</f>
        <v/>
      </c>
      <c r="M297" s="64" t="str">
        <f t="shared" si="8"/>
        <v/>
      </c>
      <c r="N297" s="62" t="str">
        <f t="shared" si="9"/>
        <v/>
      </c>
    </row>
    <row r="298" spans="1:14" ht="15" customHeight="1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2" t="str">
        <f>IF(OR(A298="",B298="",C298="",G298=""),"",SUMIFS(EVENTS!$G$5:$G$204,EVENTS!$A$5:$A$204,A298,EVENTS!$B$5:$B$204,B298,EVENTS!$C$5:$C$204,C298,EVENTS!$H$5:$H$204,G298))</f>
        <v/>
      </c>
      <c r="K298" s="63" t="str">
        <f>IF(J298="","",MAX(0,1-J298/IF(PASSDOWN!$U$2="",720,PASSDOWN!$U$2)))</f>
        <v/>
      </c>
      <c r="L298" s="63" t="str">
        <f>IFERROR(INDEX(PASSDOWN!$G$11:$G$15,MATCH(C298,PASSDOWN!$A$11:$A$15,0)),"")</f>
        <v/>
      </c>
      <c r="M298" s="64" t="str">
        <f t="shared" si="8"/>
        <v/>
      </c>
      <c r="N298" s="62" t="str">
        <f t="shared" si="9"/>
        <v/>
      </c>
    </row>
    <row r="299" spans="1:14" ht="15" customHeight="1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2" t="str">
        <f>IF(OR(A299="",B299="",C299="",G299=""),"",SUMIFS(EVENTS!$G$5:$G$204,EVENTS!$A$5:$A$204,A299,EVENTS!$B$5:$B$204,B299,EVENTS!$C$5:$C$204,C299,EVENTS!$H$5:$H$204,G299))</f>
        <v/>
      </c>
      <c r="K299" s="63" t="str">
        <f>IF(J299="","",MAX(0,1-J299/IF(PASSDOWN!$U$2="",720,PASSDOWN!$U$2)))</f>
        <v/>
      </c>
      <c r="L299" s="63" t="str">
        <f>IFERROR(INDEX(PASSDOWN!$G$11:$G$15,MATCH(C299,PASSDOWN!$A$11:$A$15,0)),"")</f>
        <v/>
      </c>
      <c r="M299" s="64" t="str">
        <f t="shared" si="8"/>
        <v/>
      </c>
      <c r="N299" s="62" t="str">
        <f t="shared" si="9"/>
        <v/>
      </c>
    </row>
    <row r="300" spans="1:14" ht="15" customHeight="1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2" t="str">
        <f>IF(OR(A300="",B300="",C300="",G300=""),"",SUMIFS(EVENTS!$G$5:$G$204,EVENTS!$A$5:$A$204,A300,EVENTS!$B$5:$B$204,B300,EVENTS!$C$5:$C$204,C300,EVENTS!$H$5:$H$204,G300))</f>
        <v/>
      </c>
      <c r="K300" s="63" t="str">
        <f>IF(J300="","",MAX(0,1-J300/IF(PASSDOWN!$U$2="",720,PASSDOWN!$U$2)))</f>
        <v/>
      </c>
      <c r="L300" s="63" t="str">
        <f>IFERROR(INDEX(PASSDOWN!$G$11:$G$15,MATCH(C300,PASSDOWN!$A$11:$A$15,0)),"")</f>
        <v/>
      </c>
      <c r="M300" s="64" t="str">
        <f t="shared" si="8"/>
        <v/>
      </c>
      <c r="N300" s="62" t="str">
        <f t="shared" si="9"/>
        <v/>
      </c>
    </row>
    <row r="301" spans="1:14" ht="15" customHeight="1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2" t="str">
        <f>IF(OR(A301="",B301="",C301="",G301=""),"",SUMIFS(EVENTS!$G$5:$G$204,EVENTS!$A$5:$A$204,A301,EVENTS!$B$5:$B$204,B301,EVENTS!$C$5:$C$204,C301,EVENTS!$H$5:$H$204,G301))</f>
        <v/>
      </c>
      <c r="K301" s="63" t="str">
        <f>IF(J301="","",MAX(0,1-J301/IF(PASSDOWN!$U$2="",720,PASSDOWN!$U$2)))</f>
        <v/>
      </c>
      <c r="L301" s="63" t="str">
        <f>IFERROR(INDEX(PASSDOWN!$G$11:$G$15,MATCH(C301,PASSDOWN!$A$11:$A$15,0)),"")</f>
        <v/>
      </c>
      <c r="M301" s="64" t="str">
        <f t="shared" si="8"/>
        <v/>
      </c>
      <c r="N301" s="62" t="str">
        <f t="shared" si="9"/>
        <v/>
      </c>
    </row>
    <row r="302" spans="1:14" ht="15" customHeight="1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2" t="str">
        <f>IF(OR(A302="",B302="",C302="",G302=""),"",SUMIFS(EVENTS!$G$5:$G$204,EVENTS!$A$5:$A$204,A302,EVENTS!$B$5:$B$204,B302,EVENTS!$C$5:$C$204,C302,EVENTS!$H$5:$H$204,G302))</f>
        <v/>
      </c>
      <c r="K302" s="63" t="str">
        <f>IF(J302="","",MAX(0,1-J302/IF(PASSDOWN!$U$2="",720,PASSDOWN!$U$2)))</f>
        <v/>
      </c>
      <c r="L302" s="63" t="str">
        <f>IFERROR(INDEX(PASSDOWN!$G$11:$G$15,MATCH(C302,PASSDOWN!$A$11:$A$15,0)),"")</f>
        <v/>
      </c>
      <c r="M302" s="64" t="str">
        <f t="shared" si="8"/>
        <v/>
      </c>
      <c r="N302" s="62" t="str">
        <f t="shared" si="9"/>
        <v/>
      </c>
    </row>
    <row r="303" spans="1:14" ht="15" customHeight="1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2" t="str">
        <f>IF(OR(A303="",B303="",C303="",G303=""),"",SUMIFS(EVENTS!$G$5:$G$204,EVENTS!$A$5:$A$204,A303,EVENTS!$B$5:$B$204,B303,EVENTS!$C$5:$C$204,C303,EVENTS!$H$5:$H$204,G303))</f>
        <v/>
      </c>
      <c r="K303" s="63" t="str">
        <f>IF(J303="","",MAX(0,1-J303/IF(PASSDOWN!$U$2="",720,PASSDOWN!$U$2)))</f>
        <v/>
      </c>
      <c r="L303" s="63" t="str">
        <f>IFERROR(INDEX(PASSDOWN!$G$11:$G$15,MATCH(C303,PASSDOWN!$A$11:$A$15,0)),"")</f>
        <v/>
      </c>
      <c r="M303" s="64" t="str">
        <f t="shared" si="8"/>
        <v/>
      </c>
      <c r="N303" s="62" t="str">
        <f t="shared" si="9"/>
        <v/>
      </c>
    </row>
    <row r="304" spans="1:14" ht="15" customHeight="1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2" t="str">
        <f>IF(OR(A304="",B304="",C304="",G304=""),"",SUMIFS(EVENTS!$G$5:$G$204,EVENTS!$A$5:$A$204,A304,EVENTS!$B$5:$B$204,B304,EVENTS!$C$5:$C$204,C304,EVENTS!$H$5:$H$204,G304))</f>
        <v/>
      </c>
      <c r="K304" s="63" t="str">
        <f>IF(J304="","",MAX(0,1-J304/IF(PASSDOWN!$U$2="",720,PASSDOWN!$U$2)))</f>
        <v/>
      </c>
      <c r="L304" s="63" t="str">
        <f>IFERROR(INDEX(PASSDOWN!$G$11:$G$15,MATCH(C304,PASSDOWN!$A$11:$A$15,0)),"")</f>
        <v/>
      </c>
      <c r="M304" s="64" t="str">
        <f t="shared" si="8"/>
        <v/>
      </c>
      <c r="N304" s="62" t="str">
        <f t="shared" si="9"/>
        <v/>
      </c>
    </row>
    <row r="305" spans="1:14" ht="15" customHeight="1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2" t="str">
        <f>IF(OR(A305="",B305="",C305="",G305=""),"",SUMIFS(EVENTS!$G$5:$G$204,EVENTS!$A$5:$A$204,A305,EVENTS!$B$5:$B$204,B305,EVENTS!$C$5:$C$204,C305,EVENTS!$H$5:$H$204,G305))</f>
        <v/>
      </c>
      <c r="K305" s="63" t="str">
        <f>IF(J305="","",MAX(0,1-J305/IF(PASSDOWN!$U$2="",720,PASSDOWN!$U$2)))</f>
        <v/>
      </c>
      <c r="L305" s="63" t="str">
        <f>IFERROR(INDEX(PASSDOWN!$G$11:$G$15,MATCH(C305,PASSDOWN!$A$11:$A$15,0)),"")</f>
        <v/>
      </c>
      <c r="M305" s="64" t="str">
        <f t="shared" si="8"/>
        <v/>
      </c>
      <c r="N305" s="62" t="str">
        <f t="shared" si="9"/>
        <v/>
      </c>
    </row>
    <row r="306" spans="1:14" ht="15" customHeight="1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2" t="str">
        <f>IF(OR(A306="",B306="",C306="",G306=""),"",SUMIFS(EVENTS!$G$5:$G$204,EVENTS!$A$5:$A$204,A306,EVENTS!$B$5:$B$204,B306,EVENTS!$C$5:$C$204,C306,EVENTS!$H$5:$H$204,G306))</f>
        <v/>
      </c>
      <c r="K306" s="63" t="str">
        <f>IF(J306="","",MAX(0,1-J306/IF(PASSDOWN!$U$2="",720,PASSDOWN!$U$2)))</f>
        <v/>
      </c>
      <c r="L306" s="63" t="str">
        <f>IFERROR(INDEX(PASSDOWN!$G$11:$G$15,MATCH(C306,PASSDOWN!$A$11:$A$15,0)),"")</f>
        <v/>
      </c>
      <c r="M306" s="64" t="str">
        <f t="shared" si="8"/>
        <v/>
      </c>
      <c r="N306" s="62" t="str">
        <f t="shared" si="9"/>
        <v/>
      </c>
    </row>
    <row r="307" spans="1:14" ht="15" customHeight="1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2" t="str">
        <f>IF(OR(A307="",B307="",C307="",G307=""),"",SUMIFS(EVENTS!$G$5:$G$204,EVENTS!$A$5:$A$204,A307,EVENTS!$B$5:$B$204,B307,EVENTS!$C$5:$C$204,C307,EVENTS!$H$5:$H$204,G307))</f>
        <v/>
      </c>
      <c r="K307" s="63" t="str">
        <f>IF(J307="","",MAX(0,1-J307/IF(PASSDOWN!$U$2="",720,PASSDOWN!$U$2)))</f>
        <v/>
      </c>
      <c r="L307" s="63" t="str">
        <f>IFERROR(INDEX(PASSDOWN!$G$11:$G$15,MATCH(C307,PASSDOWN!$A$11:$A$15,0)),"")</f>
        <v/>
      </c>
      <c r="M307" s="64" t="str">
        <f t="shared" si="8"/>
        <v/>
      </c>
      <c r="N307" s="62" t="str">
        <f t="shared" si="9"/>
        <v/>
      </c>
    </row>
    <row r="308" spans="1:14" ht="15" customHeight="1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2" t="str">
        <f>IF(OR(A308="",B308="",C308="",G308=""),"",SUMIFS(EVENTS!$G$5:$G$204,EVENTS!$A$5:$A$204,A308,EVENTS!$B$5:$B$204,B308,EVENTS!$C$5:$C$204,C308,EVENTS!$H$5:$H$204,G308))</f>
        <v/>
      </c>
      <c r="K308" s="63" t="str">
        <f>IF(J308="","",MAX(0,1-J308/IF(PASSDOWN!$U$2="",720,PASSDOWN!$U$2)))</f>
        <v/>
      </c>
      <c r="L308" s="63" t="str">
        <f>IFERROR(INDEX(PASSDOWN!$G$11:$G$15,MATCH(C308,PASSDOWN!$A$11:$A$15,0)),"")</f>
        <v/>
      </c>
      <c r="M308" s="64" t="str">
        <f t="shared" si="8"/>
        <v/>
      </c>
      <c r="N308" s="62" t="str">
        <f t="shared" si="9"/>
        <v/>
      </c>
    </row>
    <row r="309" spans="1:14" ht="15" customHeight="1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2" t="str">
        <f>IF(OR(A309="",B309="",C309="",G309=""),"",SUMIFS(EVENTS!$G$5:$G$204,EVENTS!$A$5:$A$204,A309,EVENTS!$B$5:$B$204,B309,EVENTS!$C$5:$C$204,C309,EVENTS!$H$5:$H$204,G309))</f>
        <v/>
      </c>
      <c r="K309" s="63" t="str">
        <f>IF(J309="","",MAX(0,1-J309/IF(PASSDOWN!$U$2="",720,PASSDOWN!$U$2)))</f>
        <v/>
      </c>
      <c r="L309" s="63" t="str">
        <f>IFERROR(INDEX(PASSDOWN!$G$11:$G$15,MATCH(C309,PASSDOWN!$A$11:$A$15,0)),"")</f>
        <v/>
      </c>
      <c r="M309" s="64" t="str">
        <f t="shared" si="8"/>
        <v/>
      </c>
      <c r="N309" s="62" t="str">
        <f t="shared" si="9"/>
        <v/>
      </c>
    </row>
    <row r="310" spans="1:14" ht="15" customHeight="1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2" t="str">
        <f>IF(OR(A310="",B310="",C310="",G310=""),"",SUMIFS(EVENTS!$G$5:$G$204,EVENTS!$A$5:$A$204,A310,EVENTS!$B$5:$B$204,B310,EVENTS!$C$5:$C$204,C310,EVENTS!$H$5:$H$204,G310))</f>
        <v/>
      </c>
      <c r="K310" s="63" t="str">
        <f>IF(J310="","",MAX(0,1-J310/IF(PASSDOWN!$U$2="",720,PASSDOWN!$U$2)))</f>
        <v/>
      </c>
      <c r="L310" s="63" t="str">
        <f>IFERROR(INDEX(PASSDOWN!$G$11:$G$15,MATCH(C310,PASSDOWN!$A$11:$A$15,0)),"")</f>
        <v/>
      </c>
      <c r="M310" s="64" t="str">
        <f t="shared" si="8"/>
        <v/>
      </c>
      <c r="N310" s="62" t="str">
        <f t="shared" si="9"/>
        <v/>
      </c>
    </row>
    <row r="311" spans="1:14" ht="15" customHeight="1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2" t="str">
        <f>IF(OR(A311="",B311="",C311="",G311=""),"",SUMIFS(EVENTS!$G$5:$G$204,EVENTS!$A$5:$A$204,A311,EVENTS!$B$5:$B$204,B311,EVENTS!$C$5:$C$204,C311,EVENTS!$H$5:$H$204,G311))</f>
        <v/>
      </c>
      <c r="K311" s="63" t="str">
        <f>IF(J311="","",MAX(0,1-J311/IF(PASSDOWN!$U$2="",720,PASSDOWN!$U$2)))</f>
        <v/>
      </c>
      <c r="L311" s="63" t="str">
        <f>IFERROR(INDEX(PASSDOWN!$G$11:$G$15,MATCH(C311,PASSDOWN!$A$11:$A$15,0)),"")</f>
        <v/>
      </c>
      <c r="M311" s="64" t="str">
        <f t="shared" si="8"/>
        <v/>
      </c>
      <c r="N311" s="62" t="str">
        <f t="shared" si="9"/>
        <v/>
      </c>
    </row>
    <row r="312" spans="1:14" ht="15" customHeight="1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2" t="str">
        <f>IF(OR(A312="",B312="",C312="",G312=""),"",SUMIFS(EVENTS!$G$5:$G$204,EVENTS!$A$5:$A$204,A312,EVENTS!$B$5:$B$204,B312,EVENTS!$C$5:$C$204,C312,EVENTS!$H$5:$H$204,G312))</f>
        <v/>
      </c>
      <c r="K312" s="63" t="str">
        <f>IF(J312="","",MAX(0,1-J312/IF(PASSDOWN!$U$2="",720,PASSDOWN!$U$2)))</f>
        <v/>
      </c>
      <c r="L312" s="63" t="str">
        <f>IFERROR(INDEX(PASSDOWN!$G$11:$G$15,MATCH(C312,PASSDOWN!$A$11:$A$15,0)),"")</f>
        <v/>
      </c>
      <c r="M312" s="64" t="str">
        <f t="shared" si="8"/>
        <v/>
      </c>
      <c r="N312" s="62" t="str">
        <f t="shared" si="9"/>
        <v/>
      </c>
    </row>
    <row r="313" spans="1:14" ht="15" customHeight="1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2" t="str">
        <f>IF(OR(A313="",B313="",C313="",G313=""),"",SUMIFS(EVENTS!$G$5:$G$204,EVENTS!$A$5:$A$204,A313,EVENTS!$B$5:$B$204,B313,EVENTS!$C$5:$C$204,C313,EVENTS!$H$5:$H$204,G313))</f>
        <v/>
      </c>
      <c r="K313" s="63" t="str">
        <f>IF(J313="","",MAX(0,1-J313/IF(PASSDOWN!$U$2="",720,PASSDOWN!$U$2)))</f>
        <v/>
      </c>
      <c r="L313" s="63" t="str">
        <f>IFERROR(INDEX(PASSDOWN!$G$11:$G$15,MATCH(C313,PASSDOWN!$A$11:$A$15,0)),"")</f>
        <v/>
      </c>
      <c r="M313" s="64" t="str">
        <f t="shared" si="8"/>
        <v/>
      </c>
      <c r="N313" s="62" t="str">
        <f t="shared" si="9"/>
        <v/>
      </c>
    </row>
    <row r="314" spans="1:14" ht="15" customHeight="1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2" t="str">
        <f>IF(OR(A314="",B314="",C314="",G314=""),"",SUMIFS(EVENTS!$G$5:$G$204,EVENTS!$A$5:$A$204,A314,EVENTS!$B$5:$B$204,B314,EVENTS!$C$5:$C$204,C314,EVENTS!$H$5:$H$204,G314))</f>
        <v/>
      </c>
      <c r="K314" s="63" t="str">
        <f>IF(J314="","",MAX(0,1-J314/IF(PASSDOWN!$U$2="",720,PASSDOWN!$U$2)))</f>
        <v/>
      </c>
      <c r="L314" s="63" t="str">
        <f>IFERROR(INDEX(PASSDOWN!$G$11:$G$15,MATCH(C314,PASSDOWN!$A$11:$A$15,0)),"")</f>
        <v/>
      </c>
      <c r="M314" s="64" t="str">
        <f t="shared" si="8"/>
        <v/>
      </c>
      <c r="N314" s="62" t="str">
        <f t="shared" si="9"/>
        <v/>
      </c>
    </row>
    <row r="315" spans="1:14" ht="15" customHeight="1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2" t="str">
        <f>IF(OR(A315="",B315="",C315="",G315=""),"",SUMIFS(EVENTS!$G$5:$G$204,EVENTS!$A$5:$A$204,A315,EVENTS!$B$5:$B$204,B315,EVENTS!$C$5:$C$204,C315,EVENTS!$H$5:$H$204,G315))</f>
        <v/>
      </c>
      <c r="K315" s="63" t="str">
        <f>IF(J315="","",MAX(0,1-J315/IF(PASSDOWN!$U$2="",720,PASSDOWN!$U$2)))</f>
        <v/>
      </c>
      <c r="L315" s="63" t="str">
        <f>IFERROR(INDEX(PASSDOWN!$G$11:$G$15,MATCH(C315,PASSDOWN!$A$11:$A$15,0)),"")</f>
        <v/>
      </c>
      <c r="M315" s="64" t="str">
        <f t="shared" si="8"/>
        <v/>
      </c>
      <c r="N315" s="62" t="str">
        <f t="shared" si="9"/>
        <v/>
      </c>
    </row>
    <row r="316" spans="1:14" ht="15" customHeight="1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2" t="str">
        <f>IF(OR(A316="",B316="",C316="",G316=""),"",SUMIFS(EVENTS!$G$5:$G$204,EVENTS!$A$5:$A$204,A316,EVENTS!$B$5:$B$204,B316,EVENTS!$C$5:$C$204,C316,EVENTS!$H$5:$H$204,G316))</f>
        <v/>
      </c>
      <c r="K316" s="63" t="str">
        <f>IF(J316="","",MAX(0,1-J316/IF(PASSDOWN!$U$2="",720,PASSDOWN!$U$2)))</f>
        <v/>
      </c>
      <c r="L316" s="63" t="str">
        <f>IFERROR(INDEX(PASSDOWN!$G$11:$G$15,MATCH(C316,PASSDOWN!$A$11:$A$15,0)),"")</f>
        <v/>
      </c>
      <c r="M316" s="64" t="str">
        <f t="shared" si="8"/>
        <v/>
      </c>
      <c r="N316" s="62" t="str">
        <f t="shared" si="9"/>
        <v/>
      </c>
    </row>
    <row r="317" spans="1:14" ht="15" customHeight="1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2" t="str">
        <f>IF(OR(A317="",B317="",C317="",G317=""),"",SUMIFS(EVENTS!$G$5:$G$204,EVENTS!$A$5:$A$204,A317,EVENTS!$B$5:$B$204,B317,EVENTS!$C$5:$C$204,C317,EVENTS!$H$5:$H$204,G317))</f>
        <v/>
      </c>
      <c r="K317" s="63" t="str">
        <f>IF(J317="","",MAX(0,1-J317/IF(PASSDOWN!$U$2="",720,PASSDOWN!$U$2)))</f>
        <v/>
      </c>
      <c r="L317" s="63" t="str">
        <f>IFERROR(INDEX(PASSDOWN!$G$11:$G$15,MATCH(C317,PASSDOWN!$A$11:$A$15,0)),"")</f>
        <v/>
      </c>
      <c r="M317" s="64" t="str">
        <f t="shared" si="8"/>
        <v/>
      </c>
      <c r="N317" s="62" t="str">
        <f t="shared" si="9"/>
        <v/>
      </c>
    </row>
    <row r="318" spans="1:14" ht="15" customHeight="1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2" t="str">
        <f>IF(OR(A318="",B318="",C318="",G318=""),"",SUMIFS(EVENTS!$G$5:$G$204,EVENTS!$A$5:$A$204,A318,EVENTS!$B$5:$B$204,B318,EVENTS!$C$5:$C$204,C318,EVENTS!$H$5:$H$204,G318))</f>
        <v/>
      </c>
      <c r="K318" s="63" t="str">
        <f>IF(J318="","",MAX(0,1-J318/IF(PASSDOWN!$U$2="",720,PASSDOWN!$U$2)))</f>
        <v/>
      </c>
      <c r="L318" s="63" t="str">
        <f>IFERROR(INDEX(PASSDOWN!$G$11:$G$15,MATCH(C318,PASSDOWN!$A$11:$A$15,0)),"")</f>
        <v/>
      </c>
      <c r="M318" s="64" t="str">
        <f t="shared" si="8"/>
        <v/>
      </c>
      <c r="N318" s="62" t="str">
        <f t="shared" si="9"/>
        <v/>
      </c>
    </row>
    <row r="319" spans="1:14" ht="15" customHeight="1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2" t="str">
        <f>IF(OR(A319="",B319="",C319="",G319=""),"",SUMIFS(EVENTS!$G$5:$G$204,EVENTS!$A$5:$A$204,A319,EVENTS!$B$5:$B$204,B319,EVENTS!$C$5:$C$204,C319,EVENTS!$H$5:$H$204,G319))</f>
        <v/>
      </c>
      <c r="K319" s="63" t="str">
        <f>IF(J319="","",MAX(0,1-J319/IF(PASSDOWN!$U$2="",720,PASSDOWN!$U$2)))</f>
        <v/>
      </c>
      <c r="L319" s="63" t="str">
        <f>IFERROR(INDEX(PASSDOWN!$G$11:$G$15,MATCH(C319,PASSDOWN!$A$11:$A$15,0)),"")</f>
        <v/>
      </c>
      <c r="M319" s="64" t="str">
        <f t="shared" si="8"/>
        <v/>
      </c>
      <c r="N319" s="62" t="str">
        <f t="shared" si="9"/>
        <v/>
      </c>
    </row>
    <row r="320" spans="1:14" ht="15" customHeight="1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2" t="str">
        <f>IF(OR(A320="",B320="",C320="",G320=""),"",SUMIFS(EVENTS!$G$5:$G$204,EVENTS!$A$5:$A$204,A320,EVENTS!$B$5:$B$204,B320,EVENTS!$C$5:$C$204,C320,EVENTS!$H$5:$H$204,G320))</f>
        <v/>
      </c>
      <c r="K320" s="63" t="str">
        <f>IF(J320="","",MAX(0,1-J320/IF(PASSDOWN!$U$2="",720,PASSDOWN!$U$2)))</f>
        <v/>
      </c>
      <c r="L320" s="63" t="str">
        <f>IFERROR(INDEX(PASSDOWN!$G$11:$G$15,MATCH(C320,PASSDOWN!$A$11:$A$15,0)),"")</f>
        <v/>
      </c>
      <c r="M320" s="64" t="str">
        <f t="shared" si="8"/>
        <v/>
      </c>
      <c r="N320" s="62" t="str">
        <f t="shared" si="9"/>
        <v/>
      </c>
    </row>
    <row r="321" spans="1:14" ht="15" customHeight="1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2" t="str">
        <f>IF(OR(A321="",B321="",C321="",G321=""),"",SUMIFS(EVENTS!$G$5:$G$204,EVENTS!$A$5:$A$204,A321,EVENTS!$B$5:$B$204,B321,EVENTS!$C$5:$C$204,C321,EVENTS!$H$5:$H$204,G321))</f>
        <v/>
      </c>
      <c r="K321" s="63" t="str">
        <f>IF(J321="","",MAX(0,1-J321/IF(PASSDOWN!$U$2="",720,PASSDOWN!$U$2)))</f>
        <v/>
      </c>
      <c r="L321" s="63" t="str">
        <f>IFERROR(INDEX(PASSDOWN!$G$11:$G$15,MATCH(C321,PASSDOWN!$A$11:$A$15,0)),"")</f>
        <v/>
      </c>
      <c r="M321" s="64" t="str">
        <f t="shared" si="8"/>
        <v/>
      </c>
      <c r="N321" s="62" t="str">
        <f t="shared" si="9"/>
        <v/>
      </c>
    </row>
    <row r="322" spans="1:14" ht="15" customHeight="1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2" t="str">
        <f>IF(OR(A322="",B322="",C322="",G322=""),"",SUMIFS(EVENTS!$G$5:$G$204,EVENTS!$A$5:$A$204,A322,EVENTS!$B$5:$B$204,B322,EVENTS!$C$5:$C$204,C322,EVENTS!$H$5:$H$204,G322))</f>
        <v/>
      </c>
      <c r="K322" s="63" t="str">
        <f>IF(J322="","",MAX(0,1-J322/IF(PASSDOWN!$U$2="",720,PASSDOWN!$U$2)))</f>
        <v/>
      </c>
      <c r="L322" s="63" t="str">
        <f>IFERROR(INDEX(PASSDOWN!$G$11:$G$15,MATCH(C322,PASSDOWN!$A$11:$A$15,0)),"")</f>
        <v/>
      </c>
      <c r="M322" s="64" t="str">
        <f t="shared" si="8"/>
        <v/>
      </c>
      <c r="N322" s="62" t="str">
        <f t="shared" si="9"/>
        <v/>
      </c>
    </row>
    <row r="323" spans="1:14" ht="15" customHeight="1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2" t="str">
        <f>IF(OR(A323="",B323="",C323="",G323=""),"",SUMIFS(EVENTS!$G$5:$G$204,EVENTS!$A$5:$A$204,A323,EVENTS!$B$5:$B$204,B323,EVENTS!$C$5:$C$204,C323,EVENTS!$H$5:$H$204,G323))</f>
        <v/>
      </c>
      <c r="K323" s="63" t="str">
        <f>IF(J323="","",MAX(0,1-J323/IF(PASSDOWN!$U$2="",720,PASSDOWN!$U$2)))</f>
        <v/>
      </c>
      <c r="L323" s="63" t="str">
        <f>IFERROR(INDEX(PASSDOWN!$G$11:$G$15,MATCH(C323,PASSDOWN!$A$11:$A$15,0)),"")</f>
        <v/>
      </c>
      <c r="M323" s="64" t="str">
        <f t="shared" ref="M323:M386" si="10">IF(OR(K323="",L323=""),"",ROUND(100*K323*IF(L323&gt;1,L323/100,L323),0))</f>
        <v/>
      </c>
      <c r="N323" s="62" t="str">
        <f t="shared" ref="N323:N386" si="11">IF(M323="","",IF(M323&gt;=90,"A",IF(M323&gt;=80,"B",IF(M323&gt;=70,"C",IF(M323&gt;=60,"D","F")))))</f>
        <v/>
      </c>
    </row>
    <row r="324" spans="1:14" ht="15" customHeight="1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2" t="str">
        <f>IF(OR(A324="",B324="",C324="",G324=""),"",SUMIFS(EVENTS!$G$5:$G$204,EVENTS!$A$5:$A$204,A324,EVENTS!$B$5:$B$204,B324,EVENTS!$C$5:$C$204,C324,EVENTS!$H$5:$H$204,G324))</f>
        <v/>
      </c>
      <c r="K324" s="63" t="str">
        <f>IF(J324="","",MAX(0,1-J324/IF(PASSDOWN!$U$2="",720,PASSDOWN!$U$2)))</f>
        <v/>
      </c>
      <c r="L324" s="63" t="str">
        <f>IFERROR(INDEX(PASSDOWN!$G$11:$G$15,MATCH(C324,PASSDOWN!$A$11:$A$15,0)),"")</f>
        <v/>
      </c>
      <c r="M324" s="64" t="str">
        <f t="shared" si="10"/>
        <v/>
      </c>
      <c r="N324" s="62" t="str">
        <f t="shared" si="11"/>
        <v/>
      </c>
    </row>
    <row r="325" spans="1:14" ht="15" customHeight="1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2" t="str">
        <f>IF(OR(A325="",B325="",C325="",G325=""),"",SUMIFS(EVENTS!$G$5:$G$204,EVENTS!$A$5:$A$204,A325,EVENTS!$B$5:$B$204,B325,EVENTS!$C$5:$C$204,C325,EVENTS!$H$5:$H$204,G325))</f>
        <v/>
      </c>
      <c r="K325" s="63" t="str">
        <f>IF(J325="","",MAX(0,1-J325/IF(PASSDOWN!$U$2="",720,PASSDOWN!$U$2)))</f>
        <v/>
      </c>
      <c r="L325" s="63" t="str">
        <f>IFERROR(INDEX(PASSDOWN!$G$11:$G$15,MATCH(C325,PASSDOWN!$A$11:$A$15,0)),"")</f>
        <v/>
      </c>
      <c r="M325" s="64" t="str">
        <f t="shared" si="10"/>
        <v/>
      </c>
      <c r="N325" s="62" t="str">
        <f t="shared" si="11"/>
        <v/>
      </c>
    </row>
    <row r="326" spans="1:14" ht="15" customHeight="1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2" t="str">
        <f>IF(OR(A326="",B326="",C326="",G326=""),"",SUMIFS(EVENTS!$G$5:$G$204,EVENTS!$A$5:$A$204,A326,EVENTS!$B$5:$B$204,B326,EVENTS!$C$5:$C$204,C326,EVENTS!$H$5:$H$204,G326))</f>
        <v/>
      </c>
      <c r="K326" s="63" t="str">
        <f>IF(J326="","",MAX(0,1-J326/IF(PASSDOWN!$U$2="",720,PASSDOWN!$U$2)))</f>
        <v/>
      </c>
      <c r="L326" s="63" t="str">
        <f>IFERROR(INDEX(PASSDOWN!$G$11:$G$15,MATCH(C326,PASSDOWN!$A$11:$A$15,0)),"")</f>
        <v/>
      </c>
      <c r="M326" s="64" t="str">
        <f t="shared" si="10"/>
        <v/>
      </c>
      <c r="N326" s="62" t="str">
        <f t="shared" si="11"/>
        <v/>
      </c>
    </row>
    <row r="327" spans="1:14" ht="15" customHeight="1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2" t="str">
        <f>IF(OR(A327="",B327="",C327="",G327=""),"",SUMIFS(EVENTS!$G$5:$G$204,EVENTS!$A$5:$A$204,A327,EVENTS!$B$5:$B$204,B327,EVENTS!$C$5:$C$204,C327,EVENTS!$H$5:$H$204,G327))</f>
        <v/>
      </c>
      <c r="K327" s="63" t="str">
        <f>IF(J327="","",MAX(0,1-J327/IF(PASSDOWN!$U$2="",720,PASSDOWN!$U$2)))</f>
        <v/>
      </c>
      <c r="L327" s="63" t="str">
        <f>IFERROR(INDEX(PASSDOWN!$G$11:$G$15,MATCH(C327,PASSDOWN!$A$11:$A$15,0)),"")</f>
        <v/>
      </c>
      <c r="M327" s="64" t="str">
        <f t="shared" si="10"/>
        <v/>
      </c>
      <c r="N327" s="62" t="str">
        <f t="shared" si="11"/>
        <v/>
      </c>
    </row>
    <row r="328" spans="1:14" ht="15" customHeight="1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2" t="str">
        <f>IF(OR(A328="",B328="",C328="",G328=""),"",SUMIFS(EVENTS!$G$5:$G$204,EVENTS!$A$5:$A$204,A328,EVENTS!$B$5:$B$204,B328,EVENTS!$C$5:$C$204,C328,EVENTS!$H$5:$H$204,G328))</f>
        <v/>
      </c>
      <c r="K328" s="63" t="str">
        <f>IF(J328="","",MAX(0,1-J328/IF(PASSDOWN!$U$2="",720,PASSDOWN!$U$2)))</f>
        <v/>
      </c>
      <c r="L328" s="63" t="str">
        <f>IFERROR(INDEX(PASSDOWN!$G$11:$G$15,MATCH(C328,PASSDOWN!$A$11:$A$15,0)),"")</f>
        <v/>
      </c>
      <c r="M328" s="64" t="str">
        <f t="shared" si="10"/>
        <v/>
      </c>
      <c r="N328" s="62" t="str">
        <f t="shared" si="11"/>
        <v/>
      </c>
    </row>
    <row r="329" spans="1:14" ht="15" customHeight="1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2" t="str">
        <f>IF(OR(A329="",B329="",C329="",G329=""),"",SUMIFS(EVENTS!$G$5:$G$204,EVENTS!$A$5:$A$204,A329,EVENTS!$B$5:$B$204,B329,EVENTS!$C$5:$C$204,C329,EVENTS!$H$5:$H$204,G329))</f>
        <v/>
      </c>
      <c r="K329" s="63" t="str">
        <f>IF(J329="","",MAX(0,1-J329/IF(PASSDOWN!$U$2="",720,PASSDOWN!$U$2)))</f>
        <v/>
      </c>
      <c r="L329" s="63" t="str">
        <f>IFERROR(INDEX(PASSDOWN!$G$11:$G$15,MATCH(C329,PASSDOWN!$A$11:$A$15,0)),"")</f>
        <v/>
      </c>
      <c r="M329" s="64" t="str">
        <f t="shared" si="10"/>
        <v/>
      </c>
      <c r="N329" s="62" t="str">
        <f t="shared" si="11"/>
        <v/>
      </c>
    </row>
    <row r="330" spans="1:14" ht="15" customHeight="1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2" t="str">
        <f>IF(OR(A330="",B330="",C330="",G330=""),"",SUMIFS(EVENTS!$G$5:$G$204,EVENTS!$A$5:$A$204,A330,EVENTS!$B$5:$B$204,B330,EVENTS!$C$5:$C$204,C330,EVENTS!$H$5:$H$204,G330))</f>
        <v/>
      </c>
      <c r="K330" s="63" t="str">
        <f>IF(J330="","",MAX(0,1-J330/IF(PASSDOWN!$U$2="",720,PASSDOWN!$U$2)))</f>
        <v/>
      </c>
      <c r="L330" s="63" t="str">
        <f>IFERROR(INDEX(PASSDOWN!$G$11:$G$15,MATCH(C330,PASSDOWN!$A$11:$A$15,0)),"")</f>
        <v/>
      </c>
      <c r="M330" s="64" t="str">
        <f t="shared" si="10"/>
        <v/>
      </c>
      <c r="N330" s="62" t="str">
        <f t="shared" si="11"/>
        <v/>
      </c>
    </row>
    <row r="331" spans="1:14" ht="15" customHeight="1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2" t="str">
        <f>IF(OR(A331="",B331="",C331="",G331=""),"",SUMIFS(EVENTS!$G$5:$G$204,EVENTS!$A$5:$A$204,A331,EVENTS!$B$5:$B$204,B331,EVENTS!$C$5:$C$204,C331,EVENTS!$H$5:$H$204,G331))</f>
        <v/>
      </c>
      <c r="K331" s="63" t="str">
        <f>IF(J331="","",MAX(0,1-J331/IF(PASSDOWN!$U$2="",720,PASSDOWN!$U$2)))</f>
        <v/>
      </c>
      <c r="L331" s="63" t="str">
        <f>IFERROR(INDEX(PASSDOWN!$G$11:$G$15,MATCH(C331,PASSDOWN!$A$11:$A$15,0)),"")</f>
        <v/>
      </c>
      <c r="M331" s="64" t="str">
        <f t="shared" si="10"/>
        <v/>
      </c>
      <c r="N331" s="62" t="str">
        <f t="shared" si="11"/>
        <v/>
      </c>
    </row>
    <row r="332" spans="1:14" ht="15" customHeight="1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2" t="str">
        <f>IF(OR(A332="",B332="",C332="",G332=""),"",SUMIFS(EVENTS!$G$5:$G$204,EVENTS!$A$5:$A$204,A332,EVENTS!$B$5:$B$204,B332,EVENTS!$C$5:$C$204,C332,EVENTS!$H$5:$H$204,G332))</f>
        <v/>
      </c>
      <c r="K332" s="63" t="str">
        <f>IF(J332="","",MAX(0,1-J332/IF(PASSDOWN!$U$2="",720,PASSDOWN!$U$2)))</f>
        <v/>
      </c>
      <c r="L332" s="63" t="str">
        <f>IFERROR(INDEX(PASSDOWN!$G$11:$G$15,MATCH(C332,PASSDOWN!$A$11:$A$15,0)),"")</f>
        <v/>
      </c>
      <c r="M332" s="64" t="str">
        <f t="shared" si="10"/>
        <v/>
      </c>
      <c r="N332" s="62" t="str">
        <f t="shared" si="11"/>
        <v/>
      </c>
    </row>
    <row r="333" spans="1:14" ht="15" customHeight="1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2" t="str">
        <f>IF(OR(A333="",B333="",C333="",G333=""),"",SUMIFS(EVENTS!$G$5:$G$204,EVENTS!$A$5:$A$204,A333,EVENTS!$B$5:$B$204,B333,EVENTS!$C$5:$C$204,C333,EVENTS!$H$5:$H$204,G333))</f>
        <v/>
      </c>
      <c r="K333" s="63" t="str">
        <f>IF(J333="","",MAX(0,1-J333/IF(PASSDOWN!$U$2="",720,PASSDOWN!$U$2)))</f>
        <v/>
      </c>
      <c r="L333" s="63" t="str">
        <f>IFERROR(INDEX(PASSDOWN!$G$11:$G$15,MATCH(C333,PASSDOWN!$A$11:$A$15,0)),"")</f>
        <v/>
      </c>
      <c r="M333" s="64" t="str">
        <f t="shared" si="10"/>
        <v/>
      </c>
      <c r="N333" s="62" t="str">
        <f t="shared" si="11"/>
        <v/>
      </c>
    </row>
    <row r="334" spans="1:14" ht="15" customHeight="1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2" t="str">
        <f>IF(OR(A334="",B334="",C334="",G334=""),"",SUMIFS(EVENTS!$G$5:$G$204,EVENTS!$A$5:$A$204,A334,EVENTS!$B$5:$B$204,B334,EVENTS!$C$5:$C$204,C334,EVENTS!$H$5:$H$204,G334))</f>
        <v/>
      </c>
      <c r="K334" s="63" t="str">
        <f>IF(J334="","",MAX(0,1-J334/IF(PASSDOWN!$U$2="",720,PASSDOWN!$U$2)))</f>
        <v/>
      </c>
      <c r="L334" s="63" t="str">
        <f>IFERROR(INDEX(PASSDOWN!$G$11:$G$15,MATCH(C334,PASSDOWN!$A$11:$A$15,0)),"")</f>
        <v/>
      </c>
      <c r="M334" s="64" t="str">
        <f t="shared" si="10"/>
        <v/>
      </c>
      <c r="N334" s="62" t="str">
        <f t="shared" si="11"/>
        <v/>
      </c>
    </row>
    <row r="335" spans="1:14" ht="15" customHeight="1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2" t="str">
        <f>IF(OR(A335="",B335="",C335="",G335=""),"",SUMIFS(EVENTS!$G$5:$G$204,EVENTS!$A$5:$A$204,A335,EVENTS!$B$5:$B$204,B335,EVENTS!$C$5:$C$204,C335,EVENTS!$H$5:$H$204,G335))</f>
        <v/>
      </c>
      <c r="K335" s="63" t="str">
        <f>IF(J335="","",MAX(0,1-J335/IF(PASSDOWN!$U$2="",720,PASSDOWN!$U$2)))</f>
        <v/>
      </c>
      <c r="L335" s="63" t="str">
        <f>IFERROR(INDEX(PASSDOWN!$G$11:$G$15,MATCH(C335,PASSDOWN!$A$11:$A$15,0)),"")</f>
        <v/>
      </c>
      <c r="M335" s="64" t="str">
        <f t="shared" si="10"/>
        <v/>
      </c>
      <c r="N335" s="62" t="str">
        <f t="shared" si="11"/>
        <v/>
      </c>
    </row>
    <row r="336" spans="1:14" ht="15" customHeight="1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2" t="str">
        <f>IF(OR(A336="",B336="",C336="",G336=""),"",SUMIFS(EVENTS!$G$5:$G$204,EVENTS!$A$5:$A$204,A336,EVENTS!$B$5:$B$204,B336,EVENTS!$C$5:$C$204,C336,EVENTS!$H$5:$H$204,G336))</f>
        <v/>
      </c>
      <c r="K336" s="63" t="str">
        <f>IF(J336="","",MAX(0,1-J336/IF(PASSDOWN!$U$2="",720,PASSDOWN!$U$2)))</f>
        <v/>
      </c>
      <c r="L336" s="63" t="str">
        <f>IFERROR(INDEX(PASSDOWN!$G$11:$G$15,MATCH(C336,PASSDOWN!$A$11:$A$15,0)),"")</f>
        <v/>
      </c>
      <c r="M336" s="64" t="str">
        <f t="shared" si="10"/>
        <v/>
      </c>
      <c r="N336" s="62" t="str">
        <f t="shared" si="11"/>
        <v/>
      </c>
    </row>
    <row r="337" spans="1:14" ht="15" customHeight="1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2" t="str">
        <f>IF(OR(A337="",B337="",C337="",G337=""),"",SUMIFS(EVENTS!$G$5:$G$204,EVENTS!$A$5:$A$204,A337,EVENTS!$B$5:$B$204,B337,EVENTS!$C$5:$C$204,C337,EVENTS!$H$5:$H$204,G337))</f>
        <v/>
      </c>
      <c r="K337" s="63" t="str">
        <f>IF(J337="","",MAX(0,1-J337/IF(PASSDOWN!$U$2="",720,PASSDOWN!$U$2)))</f>
        <v/>
      </c>
      <c r="L337" s="63" t="str">
        <f>IFERROR(INDEX(PASSDOWN!$G$11:$G$15,MATCH(C337,PASSDOWN!$A$11:$A$15,0)),"")</f>
        <v/>
      </c>
      <c r="M337" s="64" t="str">
        <f t="shared" si="10"/>
        <v/>
      </c>
      <c r="N337" s="62" t="str">
        <f t="shared" si="11"/>
        <v/>
      </c>
    </row>
    <row r="338" spans="1:14" ht="15" customHeight="1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2" t="str">
        <f>IF(OR(A338="",B338="",C338="",G338=""),"",SUMIFS(EVENTS!$G$5:$G$204,EVENTS!$A$5:$A$204,A338,EVENTS!$B$5:$B$204,B338,EVENTS!$C$5:$C$204,C338,EVENTS!$H$5:$H$204,G338))</f>
        <v/>
      </c>
      <c r="K338" s="63" t="str">
        <f>IF(J338="","",MAX(0,1-J338/IF(PASSDOWN!$U$2="",720,PASSDOWN!$U$2)))</f>
        <v/>
      </c>
      <c r="L338" s="63" t="str">
        <f>IFERROR(INDEX(PASSDOWN!$G$11:$G$15,MATCH(C338,PASSDOWN!$A$11:$A$15,0)),"")</f>
        <v/>
      </c>
      <c r="M338" s="64" t="str">
        <f t="shared" si="10"/>
        <v/>
      </c>
      <c r="N338" s="62" t="str">
        <f t="shared" si="11"/>
        <v/>
      </c>
    </row>
    <row r="339" spans="1:14" ht="15" customHeight="1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2" t="str">
        <f>IF(OR(A339="",B339="",C339="",G339=""),"",SUMIFS(EVENTS!$G$5:$G$204,EVENTS!$A$5:$A$204,A339,EVENTS!$B$5:$B$204,B339,EVENTS!$C$5:$C$204,C339,EVENTS!$H$5:$H$204,G339))</f>
        <v/>
      </c>
      <c r="K339" s="63" t="str">
        <f>IF(J339="","",MAX(0,1-J339/IF(PASSDOWN!$U$2="",720,PASSDOWN!$U$2)))</f>
        <v/>
      </c>
      <c r="L339" s="63" t="str">
        <f>IFERROR(INDEX(PASSDOWN!$G$11:$G$15,MATCH(C339,PASSDOWN!$A$11:$A$15,0)),"")</f>
        <v/>
      </c>
      <c r="M339" s="64" t="str">
        <f t="shared" si="10"/>
        <v/>
      </c>
      <c r="N339" s="62" t="str">
        <f t="shared" si="11"/>
        <v/>
      </c>
    </row>
    <row r="340" spans="1:14" ht="15" customHeight="1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2" t="str">
        <f>IF(OR(A340="",B340="",C340="",G340=""),"",SUMIFS(EVENTS!$G$5:$G$204,EVENTS!$A$5:$A$204,A340,EVENTS!$B$5:$B$204,B340,EVENTS!$C$5:$C$204,C340,EVENTS!$H$5:$H$204,G340))</f>
        <v/>
      </c>
      <c r="K340" s="63" t="str">
        <f>IF(J340="","",MAX(0,1-J340/IF(PASSDOWN!$U$2="",720,PASSDOWN!$U$2)))</f>
        <v/>
      </c>
      <c r="L340" s="63" t="str">
        <f>IFERROR(INDEX(PASSDOWN!$G$11:$G$15,MATCH(C340,PASSDOWN!$A$11:$A$15,0)),"")</f>
        <v/>
      </c>
      <c r="M340" s="64" t="str">
        <f t="shared" si="10"/>
        <v/>
      </c>
      <c r="N340" s="62" t="str">
        <f t="shared" si="11"/>
        <v/>
      </c>
    </row>
    <row r="341" spans="1:14" ht="15" customHeight="1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2" t="str">
        <f>IF(OR(A341="",B341="",C341="",G341=""),"",SUMIFS(EVENTS!$G$5:$G$204,EVENTS!$A$5:$A$204,A341,EVENTS!$B$5:$B$204,B341,EVENTS!$C$5:$C$204,C341,EVENTS!$H$5:$H$204,G341))</f>
        <v/>
      </c>
      <c r="K341" s="63" t="str">
        <f>IF(J341="","",MAX(0,1-J341/IF(PASSDOWN!$U$2="",720,PASSDOWN!$U$2)))</f>
        <v/>
      </c>
      <c r="L341" s="63" t="str">
        <f>IFERROR(INDEX(PASSDOWN!$G$11:$G$15,MATCH(C341,PASSDOWN!$A$11:$A$15,0)),"")</f>
        <v/>
      </c>
      <c r="M341" s="64" t="str">
        <f t="shared" si="10"/>
        <v/>
      </c>
      <c r="N341" s="62" t="str">
        <f t="shared" si="11"/>
        <v/>
      </c>
    </row>
    <row r="342" spans="1:14" ht="15" customHeight="1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2" t="str">
        <f>IF(OR(A342="",B342="",C342="",G342=""),"",SUMIFS(EVENTS!$G$5:$G$204,EVENTS!$A$5:$A$204,A342,EVENTS!$B$5:$B$204,B342,EVENTS!$C$5:$C$204,C342,EVENTS!$H$5:$H$204,G342))</f>
        <v/>
      </c>
      <c r="K342" s="63" t="str">
        <f>IF(J342="","",MAX(0,1-J342/IF(PASSDOWN!$U$2="",720,PASSDOWN!$U$2)))</f>
        <v/>
      </c>
      <c r="L342" s="63" t="str">
        <f>IFERROR(INDEX(PASSDOWN!$G$11:$G$15,MATCH(C342,PASSDOWN!$A$11:$A$15,0)),"")</f>
        <v/>
      </c>
      <c r="M342" s="64" t="str">
        <f t="shared" si="10"/>
        <v/>
      </c>
      <c r="N342" s="62" t="str">
        <f t="shared" si="11"/>
        <v/>
      </c>
    </row>
    <row r="343" spans="1:14" ht="15" customHeight="1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2" t="str">
        <f>IF(OR(A343="",B343="",C343="",G343=""),"",SUMIFS(EVENTS!$G$5:$G$204,EVENTS!$A$5:$A$204,A343,EVENTS!$B$5:$B$204,B343,EVENTS!$C$5:$C$204,C343,EVENTS!$H$5:$H$204,G343))</f>
        <v/>
      </c>
      <c r="K343" s="63" t="str">
        <f>IF(J343="","",MAX(0,1-J343/IF(PASSDOWN!$U$2="",720,PASSDOWN!$U$2)))</f>
        <v/>
      </c>
      <c r="L343" s="63" t="str">
        <f>IFERROR(INDEX(PASSDOWN!$G$11:$G$15,MATCH(C343,PASSDOWN!$A$11:$A$15,0)),"")</f>
        <v/>
      </c>
      <c r="M343" s="64" t="str">
        <f t="shared" si="10"/>
        <v/>
      </c>
      <c r="N343" s="62" t="str">
        <f t="shared" si="11"/>
        <v/>
      </c>
    </row>
    <row r="344" spans="1:14" ht="15" customHeight="1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2" t="str">
        <f>IF(OR(A344="",B344="",C344="",G344=""),"",SUMIFS(EVENTS!$G$5:$G$204,EVENTS!$A$5:$A$204,A344,EVENTS!$B$5:$B$204,B344,EVENTS!$C$5:$C$204,C344,EVENTS!$H$5:$H$204,G344))</f>
        <v/>
      </c>
      <c r="K344" s="63" t="str">
        <f>IF(J344="","",MAX(0,1-J344/IF(PASSDOWN!$U$2="",720,PASSDOWN!$U$2)))</f>
        <v/>
      </c>
      <c r="L344" s="63" t="str">
        <f>IFERROR(INDEX(PASSDOWN!$G$11:$G$15,MATCH(C344,PASSDOWN!$A$11:$A$15,0)),"")</f>
        <v/>
      </c>
      <c r="M344" s="64" t="str">
        <f t="shared" si="10"/>
        <v/>
      </c>
      <c r="N344" s="62" t="str">
        <f t="shared" si="11"/>
        <v/>
      </c>
    </row>
    <row r="345" spans="1:14" ht="15" customHeight="1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2" t="str">
        <f>IF(OR(A345="",B345="",C345="",G345=""),"",SUMIFS(EVENTS!$G$5:$G$204,EVENTS!$A$5:$A$204,A345,EVENTS!$B$5:$B$204,B345,EVENTS!$C$5:$C$204,C345,EVENTS!$H$5:$H$204,G345))</f>
        <v/>
      </c>
      <c r="K345" s="63" t="str">
        <f>IF(J345="","",MAX(0,1-J345/IF(PASSDOWN!$U$2="",720,PASSDOWN!$U$2)))</f>
        <v/>
      </c>
      <c r="L345" s="63" t="str">
        <f>IFERROR(INDEX(PASSDOWN!$G$11:$G$15,MATCH(C345,PASSDOWN!$A$11:$A$15,0)),"")</f>
        <v/>
      </c>
      <c r="M345" s="64" t="str">
        <f t="shared" si="10"/>
        <v/>
      </c>
      <c r="N345" s="62" t="str">
        <f t="shared" si="11"/>
        <v/>
      </c>
    </row>
    <row r="346" spans="1:14" ht="15" customHeight="1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2" t="str">
        <f>IF(OR(A346="",B346="",C346="",G346=""),"",SUMIFS(EVENTS!$G$5:$G$204,EVENTS!$A$5:$A$204,A346,EVENTS!$B$5:$B$204,B346,EVENTS!$C$5:$C$204,C346,EVENTS!$H$5:$H$204,G346))</f>
        <v/>
      </c>
      <c r="K346" s="63" t="str">
        <f>IF(J346="","",MAX(0,1-J346/IF(PASSDOWN!$U$2="",720,PASSDOWN!$U$2)))</f>
        <v/>
      </c>
      <c r="L346" s="63" t="str">
        <f>IFERROR(INDEX(PASSDOWN!$G$11:$G$15,MATCH(C346,PASSDOWN!$A$11:$A$15,0)),"")</f>
        <v/>
      </c>
      <c r="M346" s="64" t="str">
        <f t="shared" si="10"/>
        <v/>
      </c>
      <c r="N346" s="62" t="str">
        <f t="shared" si="11"/>
        <v/>
      </c>
    </row>
    <row r="347" spans="1:14" ht="15" customHeight="1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2" t="str">
        <f>IF(OR(A347="",B347="",C347="",G347=""),"",SUMIFS(EVENTS!$G$5:$G$204,EVENTS!$A$5:$A$204,A347,EVENTS!$B$5:$B$204,B347,EVENTS!$C$5:$C$204,C347,EVENTS!$H$5:$H$204,G347))</f>
        <v/>
      </c>
      <c r="K347" s="63" t="str">
        <f>IF(J347="","",MAX(0,1-J347/IF(PASSDOWN!$U$2="",720,PASSDOWN!$U$2)))</f>
        <v/>
      </c>
      <c r="L347" s="63" t="str">
        <f>IFERROR(INDEX(PASSDOWN!$G$11:$G$15,MATCH(C347,PASSDOWN!$A$11:$A$15,0)),"")</f>
        <v/>
      </c>
      <c r="M347" s="64" t="str">
        <f t="shared" si="10"/>
        <v/>
      </c>
      <c r="N347" s="62" t="str">
        <f t="shared" si="11"/>
        <v/>
      </c>
    </row>
    <row r="348" spans="1:14" ht="15" customHeight="1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2" t="str">
        <f>IF(OR(A348="",B348="",C348="",G348=""),"",SUMIFS(EVENTS!$G$5:$G$204,EVENTS!$A$5:$A$204,A348,EVENTS!$B$5:$B$204,B348,EVENTS!$C$5:$C$204,C348,EVENTS!$H$5:$H$204,G348))</f>
        <v/>
      </c>
      <c r="K348" s="63" t="str">
        <f>IF(J348="","",MAX(0,1-J348/IF(PASSDOWN!$U$2="",720,PASSDOWN!$U$2)))</f>
        <v/>
      </c>
      <c r="L348" s="63" t="str">
        <f>IFERROR(INDEX(PASSDOWN!$G$11:$G$15,MATCH(C348,PASSDOWN!$A$11:$A$15,0)),"")</f>
        <v/>
      </c>
      <c r="M348" s="64" t="str">
        <f t="shared" si="10"/>
        <v/>
      </c>
      <c r="N348" s="62" t="str">
        <f t="shared" si="11"/>
        <v/>
      </c>
    </row>
    <row r="349" spans="1:14" ht="15" customHeight="1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2" t="str">
        <f>IF(OR(A349="",B349="",C349="",G349=""),"",SUMIFS(EVENTS!$G$5:$G$204,EVENTS!$A$5:$A$204,A349,EVENTS!$B$5:$B$204,B349,EVENTS!$C$5:$C$204,C349,EVENTS!$H$5:$H$204,G349))</f>
        <v/>
      </c>
      <c r="K349" s="63" t="str">
        <f>IF(J349="","",MAX(0,1-J349/IF(PASSDOWN!$U$2="",720,PASSDOWN!$U$2)))</f>
        <v/>
      </c>
      <c r="L349" s="63" t="str">
        <f>IFERROR(INDEX(PASSDOWN!$G$11:$G$15,MATCH(C349,PASSDOWN!$A$11:$A$15,0)),"")</f>
        <v/>
      </c>
      <c r="M349" s="64" t="str">
        <f t="shared" si="10"/>
        <v/>
      </c>
      <c r="N349" s="62" t="str">
        <f t="shared" si="11"/>
        <v/>
      </c>
    </row>
    <row r="350" spans="1:14" ht="15" customHeight="1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2" t="str">
        <f>IF(OR(A350="",B350="",C350="",G350=""),"",SUMIFS(EVENTS!$G$5:$G$204,EVENTS!$A$5:$A$204,A350,EVENTS!$B$5:$B$204,B350,EVENTS!$C$5:$C$204,C350,EVENTS!$H$5:$H$204,G350))</f>
        <v/>
      </c>
      <c r="K350" s="63" t="str">
        <f>IF(J350="","",MAX(0,1-J350/IF(PASSDOWN!$U$2="",720,PASSDOWN!$U$2)))</f>
        <v/>
      </c>
      <c r="L350" s="63" t="str">
        <f>IFERROR(INDEX(PASSDOWN!$G$11:$G$15,MATCH(C350,PASSDOWN!$A$11:$A$15,0)),"")</f>
        <v/>
      </c>
      <c r="M350" s="64" t="str">
        <f t="shared" si="10"/>
        <v/>
      </c>
      <c r="N350" s="62" t="str">
        <f t="shared" si="11"/>
        <v/>
      </c>
    </row>
    <row r="351" spans="1:14" ht="15" customHeight="1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2" t="str">
        <f>IF(OR(A351="",B351="",C351="",G351=""),"",SUMIFS(EVENTS!$G$5:$G$204,EVENTS!$A$5:$A$204,A351,EVENTS!$B$5:$B$204,B351,EVENTS!$C$5:$C$204,C351,EVENTS!$H$5:$H$204,G351))</f>
        <v/>
      </c>
      <c r="K351" s="63" t="str">
        <f>IF(J351="","",MAX(0,1-J351/IF(PASSDOWN!$U$2="",720,PASSDOWN!$U$2)))</f>
        <v/>
      </c>
      <c r="L351" s="63" t="str">
        <f>IFERROR(INDEX(PASSDOWN!$G$11:$G$15,MATCH(C351,PASSDOWN!$A$11:$A$15,0)),"")</f>
        <v/>
      </c>
      <c r="M351" s="64" t="str">
        <f t="shared" si="10"/>
        <v/>
      </c>
      <c r="N351" s="62" t="str">
        <f t="shared" si="11"/>
        <v/>
      </c>
    </row>
    <row r="352" spans="1:14" ht="15" customHeight="1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2" t="str">
        <f>IF(OR(A352="",B352="",C352="",G352=""),"",SUMIFS(EVENTS!$G$5:$G$204,EVENTS!$A$5:$A$204,A352,EVENTS!$B$5:$B$204,B352,EVENTS!$C$5:$C$204,C352,EVENTS!$H$5:$H$204,G352))</f>
        <v/>
      </c>
      <c r="K352" s="63" t="str">
        <f>IF(J352="","",MAX(0,1-J352/IF(PASSDOWN!$U$2="",720,PASSDOWN!$U$2)))</f>
        <v/>
      </c>
      <c r="L352" s="63" t="str">
        <f>IFERROR(INDEX(PASSDOWN!$G$11:$G$15,MATCH(C352,PASSDOWN!$A$11:$A$15,0)),"")</f>
        <v/>
      </c>
      <c r="M352" s="64" t="str">
        <f t="shared" si="10"/>
        <v/>
      </c>
      <c r="N352" s="62" t="str">
        <f t="shared" si="11"/>
        <v/>
      </c>
    </row>
    <row r="353" spans="1:14" ht="15" customHeight="1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2" t="str">
        <f>IF(OR(A353="",B353="",C353="",G353=""),"",SUMIFS(EVENTS!$G$5:$G$204,EVENTS!$A$5:$A$204,A353,EVENTS!$B$5:$B$204,B353,EVENTS!$C$5:$C$204,C353,EVENTS!$H$5:$H$204,G353))</f>
        <v/>
      </c>
      <c r="K353" s="63" t="str">
        <f>IF(J353="","",MAX(0,1-J353/IF(PASSDOWN!$U$2="",720,PASSDOWN!$U$2)))</f>
        <v/>
      </c>
      <c r="L353" s="63" t="str">
        <f>IFERROR(INDEX(PASSDOWN!$G$11:$G$15,MATCH(C353,PASSDOWN!$A$11:$A$15,0)),"")</f>
        <v/>
      </c>
      <c r="M353" s="64" t="str">
        <f t="shared" si="10"/>
        <v/>
      </c>
      <c r="N353" s="62" t="str">
        <f t="shared" si="11"/>
        <v/>
      </c>
    </row>
    <row r="354" spans="1:14" ht="15" customHeight="1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2" t="str">
        <f>IF(OR(A354="",B354="",C354="",G354=""),"",SUMIFS(EVENTS!$G$5:$G$204,EVENTS!$A$5:$A$204,A354,EVENTS!$B$5:$B$204,B354,EVENTS!$C$5:$C$204,C354,EVENTS!$H$5:$H$204,G354))</f>
        <v/>
      </c>
      <c r="K354" s="63" t="str">
        <f>IF(J354="","",MAX(0,1-J354/IF(PASSDOWN!$U$2="",720,PASSDOWN!$U$2)))</f>
        <v/>
      </c>
      <c r="L354" s="63" t="str">
        <f>IFERROR(INDEX(PASSDOWN!$G$11:$G$15,MATCH(C354,PASSDOWN!$A$11:$A$15,0)),"")</f>
        <v/>
      </c>
      <c r="M354" s="64" t="str">
        <f t="shared" si="10"/>
        <v/>
      </c>
      <c r="N354" s="62" t="str">
        <f t="shared" si="11"/>
        <v/>
      </c>
    </row>
    <row r="355" spans="1:14" ht="15" customHeight="1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2" t="str">
        <f>IF(OR(A355="",B355="",C355="",G355=""),"",SUMIFS(EVENTS!$G$5:$G$204,EVENTS!$A$5:$A$204,A355,EVENTS!$B$5:$B$204,B355,EVENTS!$C$5:$C$204,C355,EVENTS!$H$5:$H$204,G355))</f>
        <v/>
      </c>
      <c r="K355" s="63" t="str">
        <f>IF(J355="","",MAX(0,1-J355/IF(PASSDOWN!$U$2="",720,PASSDOWN!$U$2)))</f>
        <v/>
      </c>
      <c r="L355" s="63" t="str">
        <f>IFERROR(INDEX(PASSDOWN!$G$11:$G$15,MATCH(C355,PASSDOWN!$A$11:$A$15,0)),"")</f>
        <v/>
      </c>
      <c r="M355" s="64" t="str">
        <f t="shared" si="10"/>
        <v/>
      </c>
      <c r="N355" s="62" t="str">
        <f t="shared" si="11"/>
        <v/>
      </c>
    </row>
    <row r="356" spans="1:14" ht="15" customHeight="1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2" t="str">
        <f>IF(OR(A356="",B356="",C356="",G356=""),"",SUMIFS(EVENTS!$G$5:$G$204,EVENTS!$A$5:$A$204,A356,EVENTS!$B$5:$B$204,B356,EVENTS!$C$5:$C$204,C356,EVENTS!$H$5:$H$204,G356))</f>
        <v/>
      </c>
      <c r="K356" s="63" t="str">
        <f>IF(J356="","",MAX(0,1-J356/IF(PASSDOWN!$U$2="",720,PASSDOWN!$U$2)))</f>
        <v/>
      </c>
      <c r="L356" s="63" t="str">
        <f>IFERROR(INDEX(PASSDOWN!$G$11:$G$15,MATCH(C356,PASSDOWN!$A$11:$A$15,0)),"")</f>
        <v/>
      </c>
      <c r="M356" s="64" t="str">
        <f t="shared" si="10"/>
        <v/>
      </c>
      <c r="N356" s="62" t="str">
        <f t="shared" si="11"/>
        <v/>
      </c>
    </row>
    <row r="357" spans="1:14" ht="15" customHeight="1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2" t="str">
        <f>IF(OR(A357="",B357="",C357="",G357=""),"",SUMIFS(EVENTS!$G$5:$G$204,EVENTS!$A$5:$A$204,A357,EVENTS!$B$5:$B$204,B357,EVENTS!$C$5:$C$204,C357,EVENTS!$H$5:$H$204,G357))</f>
        <v/>
      </c>
      <c r="K357" s="63" t="str">
        <f>IF(J357="","",MAX(0,1-J357/IF(PASSDOWN!$U$2="",720,PASSDOWN!$U$2)))</f>
        <v/>
      </c>
      <c r="L357" s="63" t="str">
        <f>IFERROR(INDEX(PASSDOWN!$G$11:$G$15,MATCH(C357,PASSDOWN!$A$11:$A$15,0)),"")</f>
        <v/>
      </c>
      <c r="M357" s="64" t="str">
        <f t="shared" si="10"/>
        <v/>
      </c>
      <c r="N357" s="62" t="str">
        <f t="shared" si="11"/>
        <v/>
      </c>
    </row>
    <row r="358" spans="1:14" ht="15" customHeight="1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2" t="str">
        <f>IF(OR(A358="",B358="",C358="",G358=""),"",SUMIFS(EVENTS!$G$5:$G$204,EVENTS!$A$5:$A$204,A358,EVENTS!$B$5:$B$204,B358,EVENTS!$C$5:$C$204,C358,EVENTS!$H$5:$H$204,G358))</f>
        <v/>
      </c>
      <c r="K358" s="63" t="str">
        <f>IF(J358="","",MAX(0,1-J358/IF(PASSDOWN!$U$2="",720,PASSDOWN!$U$2)))</f>
        <v/>
      </c>
      <c r="L358" s="63" t="str">
        <f>IFERROR(INDEX(PASSDOWN!$G$11:$G$15,MATCH(C358,PASSDOWN!$A$11:$A$15,0)),"")</f>
        <v/>
      </c>
      <c r="M358" s="64" t="str">
        <f t="shared" si="10"/>
        <v/>
      </c>
      <c r="N358" s="62" t="str">
        <f t="shared" si="11"/>
        <v/>
      </c>
    </row>
    <row r="359" spans="1:14" ht="15" customHeight="1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2" t="str">
        <f>IF(OR(A359="",B359="",C359="",G359=""),"",SUMIFS(EVENTS!$G$5:$G$204,EVENTS!$A$5:$A$204,A359,EVENTS!$B$5:$B$204,B359,EVENTS!$C$5:$C$204,C359,EVENTS!$H$5:$H$204,G359))</f>
        <v/>
      </c>
      <c r="K359" s="63" t="str">
        <f>IF(J359="","",MAX(0,1-J359/IF(PASSDOWN!$U$2="",720,PASSDOWN!$U$2)))</f>
        <v/>
      </c>
      <c r="L359" s="63" t="str">
        <f>IFERROR(INDEX(PASSDOWN!$G$11:$G$15,MATCH(C359,PASSDOWN!$A$11:$A$15,0)),"")</f>
        <v/>
      </c>
      <c r="M359" s="64" t="str">
        <f t="shared" si="10"/>
        <v/>
      </c>
      <c r="N359" s="62" t="str">
        <f t="shared" si="11"/>
        <v/>
      </c>
    </row>
    <row r="360" spans="1:14" ht="15" customHeight="1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2" t="str">
        <f>IF(OR(A360="",B360="",C360="",G360=""),"",SUMIFS(EVENTS!$G$5:$G$204,EVENTS!$A$5:$A$204,A360,EVENTS!$B$5:$B$204,B360,EVENTS!$C$5:$C$204,C360,EVENTS!$H$5:$H$204,G360))</f>
        <v/>
      </c>
      <c r="K360" s="63" t="str">
        <f>IF(J360="","",MAX(0,1-J360/IF(PASSDOWN!$U$2="",720,PASSDOWN!$U$2)))</f>
        <v/>
      </c>
      <c r="L360" s="63" t="str">
        <f>IFERROR(INDEX(PASSDOWN!$G$11:$G$15,MATCH(C360,PASSDOWN!$A$11:$A$15,0)),"")</f>
        <v/>
      </c>
      <c r="M360" s="64" t="str">
        <f t="shared" si="10"/>
        <v/>
      </c>
      <c r="N360" s="62" t="str">
        <f t="shared" si="11"/>
        <v/>
      </c>
    </row>
    <row r="361" spans="1:14" ht="15" customHeight="1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2" t="str">
        <f>IF(OR(A361="",B361="",C361="",G361=""),"",SUMIFS(EVENTS!$G$5:$G$204,EVENTS!$A$5:$A$204,A361,EVENTS!$B$5:$B$204,B361,EVENTS!$C$5:$C$204,C361,EVENTS!$H$5:$H$204,G361))</f>
        <v/>
      </c>
      <c r="K361" s="63" t="str">
        <f>IF(J361="","",MAX(0,1-J361/IF(PASSDOWN!$U$2="",720,PASSDOWN!$U$2)))</f>
        <v/>
      </c>
      <c r="L361" s="63" t="str">
        <f>IFERROR(INDEX(PASSDOWN!$G$11:$G$15,MATCH(C361,PASSDOWN!$A$11:$A$15,0)),"")</f>
        <v/>
      </c>
      <c r="M361" s="64" t="str">
        <f t="shared" si="10"/>
        <v/>
      </c>
      <c r="N361" s="62" t="str">
        <f t="shared" si="11"/>
        <v/>
      </c>
    </row>
    <row r="362" spans="1:14" ht="15" customHeight="1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2" t="str">
        <f>IF(OR(A362="",B362="",C362="",G362=""),"",SUMIFS(EVENTS!$G$5:$G$204,EVENTS!$A$5:$A$204,A362,EVENTS!$B$5:$B$204,B362,EVENTS!$C$5:$C$204,C362,EVENTS!$H$5:$H$204,G362))</f>
        <v/>
      </c>
      <c r="K362" s="63" t="str">
        <f>IF(J362="","",MAX(0,1-J362/IF(PASSDOWN!$U$2="",720,PASSDOWN!$U$2)))</f>
        <v/>
      </c>
      <c r="L362" s="63" t="str">
        <f>IFERROR(INDEX(PASSDOWN!$G$11:$G$15,MATCH(C362,PASSDOWN!$A$11:$A$15,0)),"")</f>
        <v/>
      </c>
      <c r="M362" s="64" t="str">
        <f t="shared" si="10"/>
        <v/>
      </c>
      <c r="N362" s="62" t="str">
        <f t="shared" si="11"/>
        <v/>
      </c>
    </row>
    <row r="363" spans="1:14" ht="15" customHeight="1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2" t="str">
        <f>IF(OR(A363="",B363="",C363="",G363=""),"",SUMIFS(EVENTS!$G$5:$G$204,EVENTS!$A$5:$A$204,A363,EVENTS!$B$5:$B$204,B363,EVENTS!$C$5:$C$204,C363,EVENTS!$H$5:$H$204,G363))</f>
        <v/>
      </c>
      <c r="K363" s="63" t="str">
        <f>IF(J363="","",MAX(0,1-J363/IF(PASSDOWN!$U$2="",720,PASSDOWN!$U$2)))</f>
        <v/>
      </c>
      <c r="L363" s="63" t="str">
        <f>IFERROR(INDEX(PASSDOWN!$G$11:$G$15,MATCH(C363,PASSDOWN!$A$11:$A$15,0)),"")</f>
        <v/>
      </c>
      <c r="M363" s="64" t="str">
        <f t="shared" si="10"/>
        <v/>
      </c>
      <c r="N363" s="62" t="str">
        <f t="shared" si="11"/>
        <v/>
      </c>
    </row>
    <row r="364" spans="1:14" ht="15" customHeight="1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2" t="str">
        <f>IF(OR(A364="",B364="",C364="",G364=""),"",SUMIFS(EVENTS!$G$5:$G$204,EVENTS!$A$5:$A$204,A364,EVENTS!$B$5:$B$204,B364,EVENTS!$C$5:$C$204,C364,EVENTS!$H$5:$H$204,G364))</f>
        <v/>
      </c>
      <c r="K364" s="63" t="str">
        <f>IF(J364="","",MAX(0,1-J364/IF(PASSDOWN!$U$2="",720,PASSDOWN!$U$2)))</f>
        <v/>
      </c>
      <c r="L364" s="63" t="str">
        <f>IFERROR(INDEX(PASSDOWN!$G$11:$G$15,MATCH(C364,PASSDOWN!$A$11:$A$15,0)),"")</f>
        <v/>
      </c>
      <c r="M364" s="64" t="str">
        <f t="shared" si="10"/>
        <v/>
      </c>
      <c r="N364" s="62" t="str">
        <f t="shared" si="11"/>
        <v/>
      </c>
    </row>
    <row r="365" spans="1:14" ht="15" customHeigh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2" t="str">
        <f>IF(OR(A365="",B365="",C365="",G365=""),"",SUMIFS(EVENTS!$G$5:$G$204,EVENTS!$A$5:$A$204,A365,EVENTS!$B$5:$B$204,B365,EVENTS!$C$5:$C$204,C365,EVENTS!$H$5:$H$204,G365))</f>
        <v/>
      </c>
      <c r="K365" s="63" t="str">
        <f>IF(J365="","",MAX(0,1-J365/IF(PASSDOWN!$U$2="",720,PASSDOWN!$U$2)))</f>
        <v/>
      </c>
      <c r="L365" s="63" t="str">
        <f>IFERROR(INDEX(PASSDOWN!$G$11:$G$15,MATCH(C365,PASSDOWN!$A$11:$A$15,0)),"")</f>
        <v/>
      </c>
      <c r="M365" s="64" t="str">
        <f t="shared" si="10"/>
        <v/>
      </c>
      <c r="N365" s="62" t="str">
        <f t="shared" si="11"/>
        <v/>
      </c>
    </row>
    <row r="366" spans="1:14" ht="15" customHeigh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2" t="str">
        <f>IF(OR(A366="",B366="",C366="",G366=""),"",SUMIFS(EVENTS!$G$5:$G$204,EVENTS!$A$5:$A$204,A366,EVENTS!$B$5:$B$204,B366,EVENTS!$C$5:$C$204,C366,EVENTS!$H$5:$H$204,G366))</f>
        <v/>
      </c>
      <c r="K366" s="63" t="str">
        <f>IF(J366="","",MAX(0,1-J366/IF(PASSDOWN!$U$2="",720,PASSDOWN!$U$2)))</f>
        <v/>
      </c>
      <c r="L366" s="63" t="str">
        <f>IFERROR(INDEX(PASSDOWN!$G$11:$G$15,MATCH(C366,PASSDOWN!$A$11:$A$15,0)),"")</f>
        <v/>
      </c>
      <c r="M366" s="64" t="str">
        <f t="shared" si="10"/>
        <v/>
      </c>
      <c r="N366" s="62" t="str">
        <f t="shared" si="11"/>
        <v/>
      </c>
    </row>
    <row r="367" spans="1:14" ht="15" customHeight="1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2" t="str">
        <f>IF(OR(A367="",B367="",C367="",G367=""),"",SUMIFS(EVENTS!$G$5:$G$204,EVENTS!$A$5:$A$204,A367,EVENTS!$B$5:$B$204,B367,EVENTS!$C$5:$C$204,C367,EVENTS!$H$5:$H$204,G367))</f>
        <v/>
      </c>
      <c r="K367" s="63" t="str">
        <f>IF(J367="","",MAX(0,1-J367/IF(PASSDOWN!$U$2="",720,PASSDOWN!$U$2)))</f>
        <v/>
      </c>
      <c r="L367" s="63" t="str">
        <f>IFERROR(INDEX(PASSDOWN!$G$11:$G$15,MATCH(C367,PASSDOWN!$A$11:$A$15,0)),"")</f>
        <v/>
      </c>
      <c r="M367" s="64" t="str">
        <f t="shared" si="10"/>
        <v/>
      </c>
      <c r="N367" s="62" t="str">
        <f t="shared" si="11"/>
        <v/>
      </c>
    </row>
    <row r="368" spans="1:14" ht="15" customHeight="1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2" t="str">
        <f>IF(OR(A368="",B368="",C368="",G368=""),"",SUMIFS(EVENTS!$G$5:$G$204,EVENTS!$A$5:$A$204,A368,EVENTS!$B$5:$B$204,B368,EVENTS!$C$5:$C$204,C368,EVENTS!$H$5:$H$204,G368))</f>
        <v/>
      </c>
      <c r="K368" s="63" t="str">
        <f>IF(J368="","",MAX(0,1-J368/IF(PASSDOWN!$U$2="",720,PASSDOWN!$U$2)))</f>
        <v/>
      </c>
      <c r="L368" s="63" t="str">
        <f>IFERROR(INDEX(PASSDOWN!$G$11:$G$15,MATCH(C368,PASSDOWN!$A$11:$A$15,0)),"")</f>
        <v/>
      </c>
      <c r="M368" s="64" t="str">
        <f t="shared" si="10"/>
        <v/>
      </c>
      <c r="N368" s="62" t="str">
        <f t="shared" si="11"/>
        <v/>
      </c>
    </row>
    <row r="369" spans="1:14" ht="15" customHeigh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2" t="str">
        <f>IF(OR(A369="",B369="",C369="",G369=""),"",SUMIFS(EVENTS!$G$5:$G$204,EVENTS!$A$5:$A$204,A369,EVENTS!$B$5:$B$204,B369,EVENTS!$C$5:$C$204,C369,EVENTS!$H$5:$H$204,G369))</f>
        <v/>
      </c>
      <c r="K369" s="63" t="str">
        <f>IF(J369="","",MAX(0,1-J369/IF(PASSDOWN!$U$2="",720,PASSDOWN!$U$2)))</f>
        <v/>
      </c>
      <c r="L369" s="63" t="str">
        <f>IFERROR(INDEX(PASSDOWN!$G$11:$G$15,MATCH(C369,PASSDOWN!$A$11:$A$15,0)),"")</f>
        <v/>
      </c>
      <c r="M369" s="64" t="str">
        <f t="shared" si="10"/>
        <v/>
      </c>
      <c r="N369" s="62" t="str">
        <f t="shared" si="11"/>
        <v/>
      </c>
    </row>
    <row r="370" spans="1:14" ht="15" customHeigh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2" t="str">
        <f>IF(OR(A370="",B370="",C370="",G370=""),"",SUMIFS(EVENTS!$G$5:$G$204,EVENTS!$A$5:$A$204,A370,EVENTS!$B$5:$B$204,B370,EVENTS!$C$5:$C$204,C370,EVENTS!$H$5:$H$204,G370))</f>
        <v/>
      </c>
      <c r="K370" s="63" t="str">
        <f>IF(J370="","",MAX(0,1-J370/IF(PASSDOWN!$U$2="",720,PASSDOWN!$U$2)))</f>
        <v/>
      </c>
      <c r="L370" s="63" t="str">
        <f>IFERROR(INDEX(PASSDOWN!$G$11:$G$15,MATCH(C370,PASSDOWN!$A$11:$A$15,0)),"")</f>
        <v/>
      </c>
      <c r="M370" s="64" t="str">
        <f t="shared" si="10"/>
        <v/>
      </c>
      <c r="N370" s="62" t="str">
        <f t="shared" si="11"/>
        <v/>
      </c>
    </row>
    <row r="371" spans="1:14" ht="15" customHeight="1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2" t="str">
        <f>IF(OR(A371="",B371="",C371="",G371=""),"",SUMIFS(EVENTS!$G$5:$G$204,EVENTS!$A$5:$A$204,A371,EVENTS!$B$5:$B$204,B371,EVENTS!$C$5:$C$204,C371,EVENTS!$H$5:$H$204,G371))</f>
        <v/>
      </c>
      <c r="K371" s="63" t="str">
        <f>IF(J371="","",MAX(0,1-J371/IF(PASSDOWN!$U$2="",720,PASSDOWN!$U$2)))</f>
        <v/>
      </c>
      <c r="L371" s="63" t="str">
        <f>IFERROR(INDEX(PASSDOWN!$G$11:$G$15,MATCH(C371,PASSDOWN!$A$11:$A$15,0)),"")</f>
        <v/>
      </c>
      <c r="M371" s="64" t="str">
        <f t="shared" si="10"/>
        <v/>
      </c>
      <c r="N371" s="62" t="str">
        <f t="shared" si="11"/>
        <v/>
      </c>
    </row>
    <row r="372" spans="1:14" ht="15" customHeight="1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2" t="str">
        <f>IF(OR(A372="",B372="",C372="",G372=""),"",SUMIFS(EVENTS!$G$5:$G$204,EVENTS!$A$5:$A$204,A372,EVENTS!$B$5:$B$204,B372,EVENTS!$C$5:$C$204,C372,EVENTS!$H$5:$H$204,G372))</f>
        <v/>
      </c>
      <c r="K372" s="63" t="str">
        <f>IF(J372="","",MAX(0,1-J372/IF(PASSDOWN!$U$2="",720,PASSDOWN!$U$2)))</f>
        <v/>
      </c>
      <c r="L372" s="63" t="str">
        <f>IFERROR(INDEX(PASSDOWN!$G$11:$G$15,MATCH(C372,PASSDOWN!$A$11:$A$15,0)),"")</f>
        <v/>
      </c>
      <c r="M372" s="64" t="str">
        <f t="shared" si="10"/>
        <v/>
      </c>
      <c r="N372" s="62" t="str">
        <f t="shared" si="11"/>
        <v/>
      </c>
    </row>
    <row r="373" spans="1:14" ht="15" customHeigh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2" t="str">
        <f>IF(OR(A373="",B373="",C373="",G373=""),"",SUMIFS(EVENTS!$G$5:$G$204,EVENTS!$A$5:$A$204,A373,EVENTS!$B$5:$B$204,B373,EVENTS!$C$5:$C$204,C373,EVENTS!$H$5:$H$204,G373))</f>
        <v/>
      </c>
      <c r="K373" s="63" t="str">
        <f>IF(J373="","",MAX(0,1-J373/IF(PASSDOWN!$U$2="",720,PASSDOWN!$U$2)))</f>
        <v/>
      </c>
      <c r="L373" s="63" t="str">
        <f>IFERROR(INDEX(PASSDOWN!$G$11:$G$15,MATCH(C373,PASSDOWN!$A$11:$A$15,0)),"")</f>
        <v/>
      </c>
      <c r="M373" s="64" t="str">
        <f t="shared" si="10"/>
        <v/>
      </c>
      <c r="N373" s="62" t="str">
        <f t="shared" si="11"/>
        <v/>
      </c>
    </row>
    <row r="374" spans="1:14" ht="15" customHeight="1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2" t="str">
        <f>IF(OR(A374="",B374="",C374="",G374=""),"",SUMIFS(EVENTS!$G$5:$G$204,EVENTS!$A$5:$A$204,A374,EVENTS!$B$5:$B$204,B374,EVENTS!$C$5:$C$204,C374,EVENTS!$H$5:$H$204,G374))</f>
        <v/>
      </c>
      <c r="K374" s="63" t="str">
        <f>IF(J374="","",MAX(0,1-J374/IF(PASSDOWN!$U$2="",720,PASSDOWN!$U$2)))</f>
        <v/>
      </c>
      <c r="L374" s="63" t="str">
        <f>IFERROR(INDEX(PASSDOWN!$G$11:$G$15,MATCH(C374,PASSDOWN!$A$11:$A$15,0)),"")</f>
        <v/>
      </c>
      <c r="M374" s="64" t="str">
        <f t="shared" si="10"/>
        <v/>
      </c>
      <c r="N374" s="62" t="str">
        <f t="shared" si="11"/>
        <v/>
      </c>
    </row>
    <row r="375" spans="1:14" ht="15" customHeight="1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2" t="str">
        <f>IF(OR(A375="",B375="",C375="",G375=""),"",SUMIFS(EVENTS!$G$5:$G$204,EVENTS!$A$5:$A$204,A375,EVENTS!$B$5:$B$204,B375,EVENTS!$C$5:$C$204,C375,EVENTS!$H$5:$H$204,G375))</f>
        <v/>
      </c>
      <c r="K375" s="63" t="str">
        <f>IF(J375="","",MAX(0,1-J375/IF(PASSDOWN!$U$2="",720,PASSDOWN!$U$2)))</f>
        <v/>
      </c>
      <c r="L375" s="63" t="str">
        <f>IFERROR(INDEX(PASSDOWN!$G$11:$G$15,MATCH(C375,PASSDOWN!$A$11:$A$15,0)),"")</f>
        <v/>
      </c>
      <c r="M375" s="64" t="str">
        <f t="shared" si="10"/>
        <v/>
      </c>
      <c r="N375" s="62" t="str">
        <f t="shared" si="11"/>
        <v/>
      </c>
    </row>
    <row r="376" spans="1:14" ht="15" customHeight="1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2" t="str">
        <f>IF(OR(A376="",B376="",C376="",G376=""),"",SUMIFS(EVENTS!$G$5:$G$204,EVENTS!$A$5:$A$204,A376,EVENTS!$B$5:$B$204,B376,EVENTS!$C$5:$C$204,C376,EVENTS!$H$5:$H$204,G376))</f>
        <v/>
      </c>
      <c r="K376" s="63" t="str">
        <f>IF(J376="","",MAX(0,1-J376/IF(PASSDOWN!$U$2="",720,PASSDOWN!$U$2)))</f>
        <v/>
      </c>
      <c r="L376" s="63" t="str">
        <f>IFERROR(INDEX(PASSDOWN!$G$11:$G$15,MATCH(C376,PASSDOWN!$A$11:$A$15,0)),"")</f>
        <v/>
      </c>
      <c r="M376" s="64" t="str">
        <f t="shared" si="10"/>
        <v/>
      </c>
      <c r="N376" s="62" t="str">
        <f t="shared" si="11"/>
        <v/>
      </c>
    </row>
    <row r="377" spans="1:14" ht="15" customHeight="1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2" t="str">
        <f>IF(OR(A377="",B377="",C377="",G377=""),"",SUMIFS(EVENTS!$G$5:$G$204,EVENTS!$A$5:$A$204,A377,EVENTS!$B$5:$B$204,B377,EVENTS!$C$5:$C$204,C377,EVENTS!$H$5:$H$204,G377))</f>
        <v/>
      </c>
      <c r="K377" s="63" t="str">
        <f>IF(J377="","",MAX(0,1-J377/IF(PASSDOWN!$U$2="",720,PASSDOWN!$U$2)))</f>
        <v/>
      </c>
      <c r="L377" s="63" t="str">
        <f>IFERROR(INDEX(PASSDOWN!$G$11:$G$15,MATCH(C377,PASSDOWN!$A$11:$A$15,0)),"")</f>
        <v/>
      </c>
      <c r="M377" s="64" t="str">
        <f t="shared" si="10"/>
        <v/>
      </c>
      <c r="N377" s="62" t="str">
        <f t="shared" si="11"/>
        <v/>
      </c>
    </row>
    <row r="378" spans="1:14" ht="15" customHeight="1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2" t="str">
        <f>IF(OR(A378="",B378="",C378="",G378=""),"",SUMIFS(EVENTS!$G$5:$G$204,EVENTS!$A$5:$A$204,A378,EVENTS!$B$5:$B$204,B378,EVENTS!$C$5:$C$204,C378,EVENTS!$H$5:$H$204,G378))</f>
        <v/>
      </c>
      <c r="K378" s="63" t="str">
        <f>IF(J378="","",MAX(0,1-J378/IF(PASSDOWN!$U$2="",720,PASSDOWN!$U$2)))</f>
        <v/>
      </c>
      <c r="L378" s="63" t="str">
        <f>IFERROR(INDEX(PASSDOWN!$G$11:$G$15,MATCH(C378,PASSDOWN!$A$11:$A$15,0)),"")</f>
        <v/>
      </c>
      <c r="M378" s="64" t="str">
        <f t="shared" si="10"/>
        <v/>
      </c>
      <c r="N378" s="62" t="str">
        <f t="shared" si="11"/>
        <v/>
      </c>
    </row>
    <row r="379" spans="1:14" ht="15" customHeight="1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2" t="str">
        <f>IF(OR(A379="",B379="",C379="",G379=""),"",SUMIFS(EVENTS!$G$5:$G$204,EVENTS!$A$5:$A$204,A379,EVENTS!$B$5:$B$204,B379,EVENTS!$C$5:$C$204,C379,EVENTS!$H$5:$H$204,G379))</f>
        <v/>
      </c>
      <c r="K379" s="63" t="str">
        <f>IF(J379="","",MAX(0,1-J379/IF(PASSDOWN!$U$2="",720,PASSDOWN!$U$2)))</f>
        <v/>
      </c>
      <c r="L379" s="63" t="str">
        <f>IFERROR(INDEX(PASSDOWN!$G$11:$G$15,MATCH(C379,PASSDOWN!$A$11:$A$15,0)),"")</f>
        <v/>
      </c>
      <c r="M379" s="64" t="str">
        <f t="shared" si="10"/>
        <v/>
      </c>
      <c r="N379" s="62" t="str">
        <f t="shared" si="11"/>
        <v/>
      </c>
    </row>
    <row r="380" spans="1:14" ht="15" customHeight="1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2" t="str">
        <f>IF(OR(A380="",B380="",C380="",G380=""),"",SUMIFS(EVENTS!$G$5:$G$204,EVENTS!$A$5:$A$204,A380,EVENTS!$B$5:$B$204,B380,EVENTS!$C$5:$C$204,C380,EVENTS!$H$5:$H$204,G380))</f>
        <v/>
      </c>
      <c r="K380" s="63" t="str">
        <f>IF(J380="","",MAX(0,1-J380/IF(PASSDOWN!$U$2="",720,PASSDOWN!$U$2)))</f>
        <v/>
      </c>
      <c r="L380" s="63" t="str">
        <f>IFERROR(INDEX(PASSDOWN!$G$11:$G$15,MATCH(C380,PASSDOWN!$A$11:$A$15,0)),"")</f>
        <v/>
      </c>
      <c r="M380" s="64" t="str">
        <f t="shared" si="10"/>
        <v/>
      </c>
      <c r="N380" s="62" t="str">
        <f t="shared" si="11"/>
        <v/>
      </c>
    </row>
    <row r="381" spans="1:14" ht="15" customHeight="1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2" t="str">
        <f>IF(OR(A381="",B381="",C381="",G381=""),"",SUMIFS(EVENTS!$G$5:$G$204,EVENTS!$A$5:$A$204,A381,EVENTS!$B$5:$B$204,B381,EVENTS!$C$5:$C$204,C381,EVENTS!$H$5:$H$204,G381))</f>
        <v/>
      </c>
      <c r="K381" s="63" t="str">
        <f>IF(J381="","",MAX(0,1-J381/IF(PASSDOWN!$U$2="",720,PASSDOWN!$U$2)))</f>
        <v/>
      </c>
      <c r="L381" s="63" t="str">
        <f>IFERROR(INDEX(PASSDOWN!$G$11:$G$15,MATCH(C381,PASSDOWN!$A$11:$A$15,0)),"")</f>
        <v/>
      </c>
      <c r="M381" s="64" t="str">
        <f t="shared" si="10"/>
        <v/>
      </c>
      <c r="N381" s="62" t="str">
        <f t="shared" si="11"/>
        <v/>
      </c>
    </row>
    <row r="382" spans="1:14" ht="15" customHeight="1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2" t="str">
        <f>IF(OR(A382="",B382="",C382="",G382=""),"",SUMIFS(EVENTS!$G$5:$G$204,EVENTS!$A$5:$A$204,A382,EVENTS!$B$5:$B$204,B382,EVENTS!$C$5:$C$204,C382,EVENTS!$H$5:$H$204,G382))</f>
        <v/>
      </c>
      <c r="K382" s="63" t="str">
        <f>IF(J382="","",MAX(0,1-J382/IF(PASSDOWN!$U$2="",720,PASSDOWN!$U$2)))</f>
        <v/>
      </c>
      <c r="L382" s="63" t="str">
        <f>IFERROR(INDEX(PASSDOWN!$G$11:$G$15,MATCH(C382,PASSDOWN!$A$11:$A$15,0)),"")</f>
        <v/>
      </c>
      <c r="M382" s="64" t="str">
        <f t="shared" si="10"/>
        <v/>
      </c>
      <c r="N382" s="62" t="str">
        <f t="shared" si="11"/>
        <v/>
      </c>
    </row>
    <row r="383" spans="1:14" ht="15" customHeight="1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2" t="str">
        <f>IF(OR(A383="",B383="",C383="",G383=""),"",SUMIFS(EVENTS!$G$5:$G$204,EVENTS!$A$5:$A$204,A383,EVENTS!$B$5:$B$204,B383,EVENTS!$C$5:$C$204,C383,EVENTS!$H$5:$H$204,G383))</f>
        <v/>
      </c>
      <c r="K383" s="63" t="str">
        <f>IF(J383="","",MAX(0,1-J383/IF(PASSDOWN!$U$2="",720,PASSDOWN!$U$2)))</f>
        <v/>
      </c>
      <c r="L383" s="63" t="str">
        <f>IFERROR(INDEX(PASSDOWN!$G$11:$G$15,MATCH(C383,PASSDOWN!$A$11:$A$15,0)),"")</f>
        <v/>
      </c>
      <c r="M383" s="64" t="str">
        <f t="shared" si="10"/>
        <v/>
      </c>
      <c r="N383" s="62" t="str">
        <f t="shared" si="11"/>
        <v/>
      </c>
    </row>
    <row r="384" spans="1:14" ht="15" customHeight="1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2" t="str">
        <f>IF(OR(A384="",B384="",C384="",G384=""),"",SUMIFS(EVENTS!$G$5:$G$204,EVENTS!$A$5:$A$204,A384,EVENTS!$B$5:$B$204,B384,EVENTS!$C$5:$C$204,C384,EVENTS!$H$5:$H$204,G384))</f>
        <v/>
      </c>
      <c r="K384" s="63" t="str">
        <f>IF(J384="","",MAX(0,1-J384/IF(PASSDOWN!$U$2="",720,PASSDOWN!$U$2)))</f>
        <v/>
      </c>
      <c r="L384" s="63" t="str">
        <f>IFERROR(INDEX(PASSDOWN!$G$11:$G$15,MATCH(C384,PASSDOWN!$A$11:$A$15,0)),"")</f>
        <v/>
      </c>
      <c r="M384" s="64" t="str">
        <f t="shared" si="10"/>
        <v/>
      </c>
      <c r="N384" s="62" t="str">
        <f t="shared" si="11"/>
        <v/>
      </c>
    </row>
    <row r="385" spans="1:14" ht="15" customHeight="1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2" t="str">
        <f>IF(OR(A385="",B385="",C385="",G385=""),"",SUMIFS(EVENTS!$G$5:$G$204,EVENTS!$A$5:$A$204,A385,EVENTS!$B$5:$B$204,B385,EVENTS!$C$5:$C$204,C385,EVENTS!$H$5:$H$204,G385))</f>
        <v/>
      </c>
      <c r="K385" s="63" t="str">
        <f>IF(J385="","",MAX(0,1-J385/IF(PASSDOWN!$U$2="",720,PASSDOWN!$U$2)))</f>
        <v/>
      </c>
      <c r="L385" s="63" t="str">
        <f>IFERROR(INDEX(PASSDOWN!$G$11:$G$15,MATCH(C385,PASSDOWN!$A$11:$A$15,0)),"")</f>
        <v/>
      </c>
      <c r="M385" s="64" t="str">
        <f t="shared" si="10"/>
        <v/>
      </c>
      <c r="N385" s="62" t="str">
        <f t="shared" si="11"/>
        <v/>
      </c>
    </row>
    <row r="386" spans="1:14" ht="15" customHeight="1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2" t="str">
        <f>IF(OR(A386="",B386="",C386="",G386=""),"",SUMIFS(EVENTS!$G$5:$G$204,EVENTS!$A$5:$A$204,A386,EVENTS!$B$5:$B$204,B386,EVENTS!$C$5:$C$204,C386,EVENTS!$H$5:$H$204,G386))</f>
        <v/>
      </c>
      <c r="K386" s="63" t="str">
        <f>IF(J386="","",MAX(0,1-J386/IF(PASSDOWN!$U$2="",720,PASSDOWN!$U$2)))</f>
        <v/>
      </c>
      <c r="L386" s="63" t="str">
        <f>IFERROR(INDEX(PASSDOWN!$G$11:$G$15,MATCH(C386,PASSDOWN!$A$11:$A$15,0)),"")</f>
        <v/>
      </c>
      <c r="M386" s="64" t="str">
        <f t="shared" si="10"/>
        <v/>
      </c>
      <c r="N386" s="62" t="str">
        <f t="shared" si="11"/>
        <v/>
      </c>
    </row>
    <row r="387" spans="1:14" ht="15" customHeight="1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2" t="str">
        <f>IF(OR(A387="",B387="",C387="",G387=""),"",SUMIFS(EVENTS!$G$5:$G$204,EVENTS!$A$5:$A$204,A387,EVENTS!$B$5:$B$204,B387,EVENTS!$C$5:$C$204,C387,EVENTS!$H$5:$H$204,G387))</f>
        <v/>
      </c>
      <c r="K387" s="63" t="str">
        <f>IF(J387="","",MAX(0,1-J387/IF(PASSDOWN!$U$2="",720,PASSDOWN!$U$2)))</f>
        <v/>
      </c>
      <c r="L387" s="63" t="str">
        <f>IFERROR(INDEX(PASSDOWN!$G$11:$G$15,MATCH(C387,PASSDOWN!$A$11:$A$15,0)),"")</f>
        <v/>
      </c>
      <c r="M387" s="64" t="str">
        <f t="shared" ref="M387:M450" si="12">IF(OR(K387="",L387=""),"",ROUND(100*K387*IF(L387&gt;1,L387/100,L387),0))</f>
        <v/>
      </c>
      <c r="N387" s="62" t="str">
        <f t="shared" ref="N387:N450" si="13">IF(M387="","",IF(M387&gt;=90,"A",IF(M387&gt;=80,"B",IF(M387&gt;=70,"C",IF(M387&gt;=60,"D","F")))))</f>
        <v/>
      </c>
    </row>
    <row r="388" spans="1:14" ht="15" customHeight="1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2" t="str">
        <f>IF(OR(A388="",B388="",C388="",G388=""),"",SUMIFS(EVENTS!$G$5:$G$204,EVENTS!$A$5:$A$204,A388,EVENTS!$B$5:$B$204,B388,EVENTS!$C$5:$C$204,C388,EVENTS!$H$5:$H$204,G388))</f>
        <v/>
      </c>
      <c r="K388" s="63" t="str">
        <f>IF(J388="","",MAX(0,1-J388/IF(PASSDOWN!$U$2="",720,PASSDOWN!$U$2)))</f>
        <v/>
      </c>
      <c r="L388" s="63" t="str">
        <f>IFERROR(INDEX(PASSDOWN!$G$11:$G$15,MATCH(C388,PASSDOWN!$A$11:$A$15,0)),"")</f>
        <v/>
      </c>
      <c r="M388" s="64" t="str">
        <f t="shared" si="12"/>
        <v/>
      </c>
      <c r="N388" s="62" t="str">
        <f t="shared" si="13"/>
        <v/>
      </c>
    </row>
    <row r="389" spans="1:14" ht="15" customHeight="1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2" t="str">
        <f>IF(OR(A389="",B389="",C389="",G389=""),"",SUMIFS(EVENTS!$G$5:$G$204,EVENTS!$A$5:$A$204,A389,EVENTS!$B$5:$B$204,B389,EVENTS!$C$5:$C$204,C389,EVENTS!$H$5:$H$204,G389))</f>
        <v/>
      </c>
      <c r="K389" s="63" t="str">
        <f>IF(J389="","",MAX(0,1-J389/IF(PASSDOWN!$U$2="",720,PASSDOWN!$U$2)))</f>
        <v/>
      </c>
      <c r="L389" s="63" t="str">
        <f>IFERROR(INDEX(PASSDOWN!$G$11:$G$15,MATCH(C389,PASSDOWN!$A$11:$A$15,0)),"")</f>
        <v/>
      </c>
      <c r="M389" s="64" t="str">
        <f t="shared" si="12"/>
        <v/>
      </c>
      <c r="N389" s="62" t="str">
        <f t="shared" si="13"/>
        <v/>
      </c>
    </row>
    <row r="390" spans="1:14" ht="15" customHeight="1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2" t="str">
        <f>IF(OR(A390="",B390="",C390="",G390=""),"",SUMIFS(EVENTS!$G$5:$G$204,EVENTS!$A$5:$A$204,A390,EVENTS!$B$5:$B$204,B390,EVENTS!$C$5:$C$204,C390,EVENTS!$H$5:$H$204,G390))</f>
        <v/>
      </c>
      <c r="K390" s="63" t="str">
        <f>IF(J390="","",MAX(0,1-J390/IF(PASSDOWN!$U$2="",720,PASSDOWN!$U$2)))</f>
        <v/>
      </c>
      <c r="L390" s="63" t="str">
        <f>IFERROR(INDEX(PASSDOWN!$G$11:$G$15,MATCH(C390,PASSDOWN!$A$11:$A$15,0)),"")</f>
        <v/>
      </c>
      <c r="M390" s="64" t="str">
        <f t="shared" si="12"/>
        <v/>
      </c>
      <c r="N390" s="62" t="str">
        <f t="shared" si="13"/>
        <v/>
      </c>
    </row>
    <row r="391" spans="1:14" ht="15" customHeight="1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2" t="str">
        <f>IF(OR(A391="",B391="",C391="",G391=""),"",SUMIFS(EVENTS!$G$5:$G$204,EVENTS!$A$5:$A$204,A391,EVENTS!$B$5:$B$204,B391,EVENTS!$C$5:$C$204,C391,EVENTS!$H$5:$H$204,G391))</f>
        <v/>
      </c>
      <c r="K391" s="63" t="str">
        <f>IF(J391="","",MAX(0,1-J391/IF(PASSDOWN!$U$2="",720,PASSDOWN!$U$2)))</f>
        <v/>
      </c>
      <c r="L391" s="63" t="str">
        <f>IFERROR(INDEX(PASSDOWN!$G$11:$G$15,MATCH(C391,PASSDOWN!$A$11:$A$15,0)),"")</f>
        <v/>
      </c>
      <c r="M391" s="64" t="str">
        <f t="shared" si="12"/>
        <v/>
      </c>
      <c r="N391" s="62" t="str">
        <f t="shared" si="13"/>
        <v/>
      </c>
    </row>
    <row r="392" spans="1:14" ht="15" customHeight="1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2" t="str">
        <f>IF(OR(A392="",B392="",C392="",G392=""),"",SUMIFS(EVENTS!$G$5:$G$204,EVENTS!$A$5:$A$204,A392,EVENTS!$B$5:$B$204,B392,EVENTS!$C$5:$C$204,C392,EVENTS!$H$5:$H$204,G392))</f>
        <v/>
      </c>
      <c r="K392" s="63" t="str">
        <f>IF(J392="","",MAX(0,1-J392/IF(PASSDOWN!$U$2="",720,PASSDOWN!$U$2)))</f>
        <v/>
      </c>
      <c r="L392" s="63" t="str">
        <f>IFERROR(INDEX(PASSDOWN!$G$11:$G$15,MATCH(C392,PASSDOWN!$A$11:$A$15,0)),"")</f>
        <v/>
      </c>
      <c r="M392" s="64" t="str">
        <f t="shared" si="12"/>
        <v/>
      </c>
      <c r="N392" s="62" t="str">
        <f t="shared" si="13"/>
        <v/>
      </c>
    </row>
    <row r="393" spans="1:14" ht="15" customHeight="1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2" t="str">
        <f>IF(OR(A393="",B393="",C393="",G393=""),"",SUMIFS(EVENTS!$G$5:$G$204,EVENTS!$A$5:$A$204,A393,EVENTS!$B$5:$B$204,B393,EVENTS!$C$5:$C$204,C393,EVENTS!$H$5:$H$204,G393))</f>
        <v/>
      </c>
      <c r="K393" s="63" t="str">
        <f>IF(J393="","",MAX(0,1-J393/IF(PASSDOWN!$U$2="",720,PASSDOWN!$U$2)))</f>
        <v/>
      </c>
      <c r="L393" s="63" t="str">
        <f>IFERROR(INDEX(PASSDOWN!$G$11:$G$15,MATCH(C393,PASSDOWN!$A$11:$A$15,0)),"")</f>
        <v/>
      </c>
      <c r="M393" s="64" t="str">
        <f t="shared" si="12"/>
        <v/>
      </c>
      <c r="N393" s="62" t="str">
        <f t="shared" si="13"/>
        <v/>
      </c>
    </row>
    <row r="394" spans="1:14" ht="15" customHeight="1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2" t="str">
        <f>IF(OR(A394="",B394="",C394="",G394=""),"",SUMIFS(EVENTS!$G$5:$G$204,EVENTS!$A$5:$A$204,A394,EVENTS!$B$5:$B$204,B394,EVENTS!$C$5:$C$204,C394,EVENTS!$H$5:$H$204,G394))</f>
        <v/>
      </c>
      <c r="K394" s="63" t="str">
        <f>IF(J394="","",MAX(0,1-J394/IF(PASSDOWN!$U$2="",720,PASSDOWN!$U$2)))</f>
        <v/>
      </c>
      <c r="L394" s="63" t="str">
        <f>IFERROR(INDEX(PASSDOWN!$G$11:$G$15,MATCH(C394,PASSDOWN!$A$11:$A$15,0)),"")</f>
        <v/>
      </c>
      <c r="M394" s="64" t="str">
        <f t="shared" si="12"/>
        <v/>
      </c>
      <c r="N394" s="62" t="str">
        <f t="shared" si="13"/>
        <v/>
      </c>
    </row>
    <row r="395" spans="1:14" ht="15" customHeight="1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2" t="str">
        <f>IF(OR(A395="",B395="",C395="",G395=""),"",SUMIFS(EVENTS!$G$5:$G$204,EVENTS!$A$5:$A$204,A395,EVENTS!$B$5:$B$204,B395,EVENTS!$C$5:$C$204,C395,EVENTS!$H$5:$H$204,G395))</f>
        <v/>
      </c>
      <c r="K395" s="63" t="str">
        <f>IF(J395="","",MAX(0,1-J395/IF(PASSDOWN!$U$2="",720,PASSDOWN!$U$2)))</f>
        <v/>
      </c>
      <c r="L395" s="63" t="str">
        <f>IFERROR(INDEX(PASSDOWN!$G$11:$G$15,MATCH(C395,PASSDOWN!$A$11:$A$15,0)),"")</f>
        <v/>
      </c>
      <c r="M395" s="64" t="str">
        <f t="shared" si="12"/>
        <v/>
      </c>
      <c r="N395" s="62" t="str">
        <f t="shared" si="13"/>
        <v/>
      </c>
    </row>
    <row r="396" spans="1:14" ht="15" customHeight="1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2" t="str">
        <f>IF(OR(A396="",B396="",C396="",G396=""),"",SUMIFS(EVENTS!$G$5:$G$204,EVENTS!$A$5:$A$204,A396,EVENTS!$B$5:$B$204,B396,EVENTS!$C$5:$C$204,C396,EVENTS!$H$5:$H$204,G396))</f>
        <v/>
      </c>
      <c r="K396" s="63" t="str">
        <f>IF(J396="","",MAX(0,1-J396/IF(PASSDOWN!$U$2="",720,PASSDOWN!$U$2)))</f>
        <v/>
      </c>
      <c r="L396" s="63" t="str">
        <f>IFERROR(INDEX(PASSDOWN!$G$11:$G$15,MATCH(C396,PASSDOWN!$A$11:$A$15,0)),"")</f>
        <v/>
      </c>
      <c r="M396" s="64" t="str">
        <f t="shared" si="12"/>
        <v/>
      </c>
      <c r="N396" s="62" t="str">
        <f t="shared" si="13"/>
        <v/>
      </c>
    </row>
    <row r="397" spans="1:14" ht="15" customHeight="1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2" t="str">
        <f>IF(OR(A397="",B397="",C397="",G397=""),"",SUMIFS(EVENTS!$G$5:$G$204,EVENTS!$A$5:$A$204,A397,EVENTS!$B$5:$B$204,B397,EVENTS!$C$5:$C$204,C397,EVENTS!$H$5:$H$204,G397))</f>
        <v/>
      </c>
      <c r="K397" s="63" t="str">
        <f>IF(J397="","",MAX(0,1-J397/IF(PASSDOWN!$U$2="",720,PASSDOWN!$U$2)))</f>
        <v/>
      </c>
      <c r="L397" s="63" t="str">
        <f>IFERROR(INDEX(PASSDOWN!$G$11:$G$15,MATCH(C397,PASSDOWN!$A$11:$A$15,0)),"")</f>
        <v/>
      </c>
      <c r="M397" s="64" t="str">
        <f t="shared" si="12"/>
        <v/>
      </c>
      <c r="N397" s="62" t="str">
        <f t="shared" si="13"/>
        <v/>
      </c>
    </row>
    <row r="398" spans="1:14" ht="15" customHeight="1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2" t="str">
        <f>IF(OR(A398="",B398="",C398="",G398=""),"",SUMIFS(EVENTS!$G$5:$G$204,EVENTS!$A$5:$A$204,A398,EVENTS!$B$5:$B$204,B398,EVENTS!$C$5:$C$204,C398,EVENTS!$H$5:$H$204,G398))</f>
        <v/>
      </c>
      <c r="K398" s="63" t="str">
        <f>IF(J398="","",MAX(0,1-J398/IF(PASSDOWN!$U$2="",720,PASSDOWN!$U$2)))</f>
        <v/>
      </c>
      <c r="L398" s="63" t="str">
        <f>IFERROR(INDEX(PASSDOWN!$G$11:$G$15,MATCH(C398,PASSDOWN!$A$11:$A$15,0)),"")</f>
        <v/>
      </c>
      <c r="M398" s="64" t="str">
        <f t="shared" si="12"/>
        <v/>
      </c>
      <c r="N398" s="62" t="str">
        <f t="shared" si="13"/>
        <v/>
      </c>
    </row>
    <row r="399" spans="1:14" ht="15" customHeight="1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2" t="str">
        <f>IF(OR(A399="",B399="",C399="",G399=""),"",SUMIFS(EVENTS!$G$5:$G$204,EVENTS!$A$5:$A$204,A399,EVENTS!$B$5:$B$204,B399,EVENTS!$C$5:$C$204,C399,EVENTS!$H$5:$H$204,G399))</f>
        <v/>
      </c>
      <c r="K399" s="63" t="str">
        <f>IF(J399="","",MAX(0,1-J399/IF(PASSDOWN!$U$2="",720,PASSDOWN!$U$2)))</f>
        <v/>
      </c>
      <c r="L399" s="63" t="str">
        <f>IFERROR(INDEX(PASSDOWN!$G$11:$G$15,MATCH(C399,PASSDOWN!$A$11:$A$15,0)),"")</f>
        <v/>
      </c>
      <c r="M399" s="64" t="str">
        <f t="shared" si="12"/>
        <v/>
      </c>
      <c r="N399" s="62" t="str">
        <f t="shared" si="13"/>
        <v/>
      </c>
    </row>
    <row r="400" spans="1:14" ht="15" customHeight="1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2" t="str">
        <f>IF(OR(A400="",B400="",C400="",G400=""),"",SUMIFS(EVENTS!$G$5:$G$204,EVENTS!$A$5:$A$204,A400,EVENTS!$B$5:$B$204,B400,EVENTS!$C$5:$C$204,C400,EVENTS!$H$5:$H$204,G400))</f>
        <v/>
      </c>
      <c r="K400" s="63" t="str">
        <f>IF(J400="","",MAX(0,1-J400/IF(PASSDOWN!$U$2="",720,PASSDOWN!$U$2)))</f>
        <v/>
      </c>
      <c r="L400" s="63" t="str">
        <f>IFERROR(INDEX(PASSDOWN!$G$11:$G$15,MATCH(C400,PASSDOWN!$A$11:$A$15,0)),"")</f>
        <v/>
      </c>
      <c r="M400" s="64" t="str">
        <f t="shared" si="12"/>
        <v/>
      </c>
      <c r="N400" s="62" t="str">
        <f t="shared" si="13"/>
        <v/>
      </c>
    </row>
    <row r="401" spans="1:14" ht="15" customHeight="1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2" t="str">
        <f>IF(OR(A401="",B401="",C401="",G401=""),"",SUMIFS(EVENTS!$G$5:$G$204,EVENTS!$A$5:$A$204,A401,EVENTS!$B$5:$B$204,B401,EVENTS!$C$5:$C$204,C401,EVENTS!$H$5:$H$204,G401))</f>
        <v/>
      </c>
      <c r="K401" s="63" t="str">
        <f>IF(J401="","",MAX(0,1-J401/IF(PASSDOWN!$U$2="",720,PASSDOWN!$U$2)))</f>
        <v/>
      </c>
      <c r="L401" s="63" t="str">
        <f>IFERROR(INDEX(PASSDOWN!$G$11:$G$15,MATCH(C401,PASSDOWN!$A$11:$A$15,0)),"")</f>
        <v/>
      </c>
      <c r="M401" s="64" t="str">
        <f t="shared" si="12"/>
        <v/>
      </c>
      <c r="N401" s="62" t="str">
        <f t="shared" si="13"/>
        <v/>
      </c>
    </row>
    <row r="402" spans="1:14" ht="15" customHeight="1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2" t="str">
        <f>IF(OR(A402="",B402="",C402="",G402=""),"",SUMIFS(EVENTS!$G$5:$G$204,EVENTS!$A$5:$A$204,A402,EVENTS!$B$5:$B$204,B402,EVENTS!$C$5:$C$204,C402,EVENTS!$H$5:$H$204,G402))</f>
        <v/>
      </c>
      <c r="K402" s="63" t="str">
        <f>IF(J402="","",MAX(0,1-J402/IF(PASSDOWN!$U$2="",720,PASSDOWN!$U$2)))</f>
        <v/>
      </c>
      <c r="L402" s="63" t="str">
        <f>IFERROR(INDEX(PASSDOWN!$G$11:$G$15,MATCH(C402,PASSDOWN!$A$11:$A$15,0)),"")</f>
        <v/>
      </c>
      <c r="M402" s="64" t="str">
        <f t="shared" si="12"/>
        <v/>
      </c>
      <c r="N402" s="62" t="str">
        <f t="shared" si="13"/>
        <v/>
      </c>
    </row>
    <row r="403" spans="1:14" ht="15" customHeight="1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2" t="str">
        <f>IF(OR(A403="",B403="",C403="",G403=""),"",SUMIFS(EVENTS!$G$5:$G$204,EVENTS!$A$5:$A$204,A403,EVENTS!$B$5:$B$204,B403,EVENTS!$C$5:$C$204,C403,EVENTS!$H$5:$H$204,G403))</f>
        <v/>
      </c>
      <c r="K403" s="63" t="str">
        <f>IF(J403="","",MAX(0,1-J403/IF(PASSDOWN!$U$2="",720,PASSDOWN!$U$2)))</f>
        <v/>
      </c>
      <c r="L403" s="63" t="str">
        <f>IFERROR(INDEX(PASSDOWN!$G$11:$G$15,MATCH(C403,PASSDOWN!$A$11:$A$15,0)),"")</f>
        <v/>
      </c>
      <c r="M403" s="64" t="str">
        <f t="shared" si="12"/>
        <v/>
      </c>
      <c r="N403" s="62" t="str">
        <f t="shared" si="13"/>
        <v/>
      </c>
    </row>
    <row r="404" spans="1:14" ht="15" customHeight="1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2" t="str">
        <f>IF(OR(A404="",B404="",C404="",G404=""),"",SUMIFS(EVENTS!$G$5:$G$204,EVENTS!$A$5:$A$204,A404,EVENTS!$B$5:$B$204,B404,EVENTS!$C$5:$C$204,C404,EVENTS!$H$5:$H$204,G404))</f>
        <v/>
      </c>
      <c r="K404" s="63" t="str">
        <f>IF(J404="","",MAX(0,1-J404/IF(PASSDOWN!$U$2="",720,PASSDOWN!$U$2)))</f>
        <v/>
      </c>
      <c r="L404" s="63" t="str">
        <f>IFERROR(INDEX(PASSDOWN!$G$11:$G$15,MATCH(C404,PASSDOWN!$A$11:$A$15,0)),"")</f>
        <v/>
      </c>
      <c r="M404" s="64" t="str">
        <f t="shared" si="12"/>
        <v/>
      </c>
      <c r="N404" s="62" t="str">
        <f t="shared" si="13"/>
        <v/>
      </c>
    </row>
    <row r="405" spans="1:14" ht="15" customHeight="1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2" t="str">
        <f>IF(OR(A405="",B405="",C405="",G405=""),"",SUMIFS(EVENTS!$G$5:$G$204,EVENTS!$A$5:$A$204,A405,EVENTS!$B$5:$B$204,B405,EVENTS!$C$5:$C$204,C405,EVENTS!$H$5:$H$204,G405))</f>
        <v/>
      </c>
      <c r="K405" s="63" t="str">
        <f>IF(J405="","",MAX(0,1-J405/IF(PASSDOWN!$U$2="",720,PASSDOWN!$U$2)))</f>
        <v/>
      </c>
      <c r="L405" s="63" t="str">
        <f>IFERROR(INDEX(PASSDOWN!$G$11:$G$15,MATCH(C405,PASSDOWN!$A$11:$A$15,0)),"")</f>
        <v/>
      </c>
      <c r="M405" s="64" t="str">
        <f t="shared" si="12"/>
        <v/>
      </c>
      <c r="N405" s="62" t="str">
        <f t="shared" si="13"/>
        <v/>
      </c>
    </row>
    <row r="406" spans="1:14" ht="15" customHeight="1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2" t="str">
        <f>IF(OR(A406="",B406="",C406="",G406=""),"",SUMIFS(EVENTS!$G$5:$G$204,EVENTS!$A$5:$A$204,A406,EVENTS!$B$5:$B$204,B406,EVENTS!$C$5:$C$204,C406,EVENTS!$H$5:$H$204,G406))</f>
        <v/>
      </c>
      <c r="K406" s="63" t="str">
        <f>IF(J406="","",MAX(0,1-J406/IF(PASSDOWN!$U$2="",720,PASSDOWN!$U$2)))</f>
        <v/>
      </c>
      <c r="L406" s="63" t="str">
        <f>IFERROR(INDEX(PASSDOWN!$G$11:$G$15,MATCH(C406,PASSDOWN!$A$11:$A$15,0)),"")</f>
        <v/>
      </c>
      <c r="M406" s="64" t="str">
        <f t="shared" si="12"/>
        <v/>
      </c>
      <c r="N406" s="62" t="str">
        <f t="shared" si="13"/>
        <v/>
      </c>
    </row>
    <row r="407" spans="1:14" ht="15" customHeight="1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2" t="str">
        <f>IF(OR(A407="",B407="",C407="",G407=""),"",SUMIFS(EVENTS!$G$5:$G$204,EVENTS!$A$5:$A$204,A407,EVENTS!$B$5:$B$204,B407,EVENTS!$C$5:$C$204,C407,EVENTS!$H$5:$H$204,G407))</f>
        <v/>
      </c>
      <c r="K407" s="63" t="str">
        <f>IF(J407="","",MAX(0,1-J407/IF(PASSDOWN!$U$2="",720,PASSDOWN!$U$2)))</f>
        <v/>
      </c>
      <c r="L407" s="63" t="str">
        <f>IFERROR(INDEX(PASSDOWN!$G$11:$G$15,MATCH(C407,PASSDOWN!$A$11:$A$15,0)),"")</f>
        <v/>
      </c>
      <c r="M407" s="64" t="str">
        <f t="shared" si="12"/>
        <v/>
      </c>
      <c r="N407" s="62" t="str">
        <f t="shared" si="13"/>
        <v/>
      </c>
    </row>
    <row r="408" spans="1:14" ht="15" customHeight="1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2" t="str">
        <f>IF(OR(A408="",B408="",C408="",G408=""),"",SUMIFS(EVENTS!$G$5:$G$204,EVENTS!$A$5:$A$204,A408,EVENTS!$B$5:$B$204,B408,EVENTS!$C$5:$C$204,C408,EVENTS!$H$5:$H$204,G408))</f>
        <v/>
      </c>
      <c r="K408" s="63" t="str">
        <f>IF(J408="","",MAX(0,1-J408/IF(PASSDOWN!$U$2="",720,PASSDOWN!$U$2)))</f>
        <v/>
      </c>
      <c r="L408" s="63" t="str">
        <f>IFERROR(INDEX(PASSDOWN!$G$11:$G$15,MATCH(C408,PASSDOWN!$A$11:$A$15,0)),"")</f>
        <v/>
      </c>
      <c r="M408" s="64" t="str">
        <f t="shared" si="12"/>
        <v/>
      </c>
      <c r="N408" s="62" t="str">
        <f t="shared" si="13"/>
        <v/>
      </c>
    </row>
    <row r="409" spans="1:14" ht="15" customHeight="1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2" t="str">
        <f>IF(OR(A409="",B409="",C409="",G409=""),"",SUMIFS(EVENTS!$G$5:$G$204,EVENTS!$A$5:$A$204,A409,EVENTS!$B$5:$B$204,B409,EVENTS!$C$5:$C$204,C409,EVENTS!$H$5:$H$204,G409))</f>
        <v/>
      </c>
      <c r="K409" s="63" t="str">
        <f>IF(J409="","",MAX(0,1-J409/IF(PASSDOWN!$U$2="",720,PASSDOWN!$U$2)))</f>
        <v/>
      </c>
      <c r="L409" s="63" t="str">
        <f>IFERROR(INDEX(PASSDOWN!$G$11:$G$15,MATCH(C409,PASSDOWN!$A$11:$A$15,0)),"")</f>
        <v/>
      </c>
      <c r="M409" s="64" t="str">
        <f t="shared" si="12"/>
        <v/>
      </c>
      <c r="N409" s="62" t="str">
        <f t="shared" si="13"/>
        <v/>
      </c>
    </row>
    <row r="410" spans="1:14" ht="15" customHeight="1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2" t="str">
        <f>IF(OR(A410="",B410="",C410="",G410=""),"",SUMIFS(EVENTS!$G$5:$G$204,EVENTS!$A$5:$A$204,A410,EVENTS!$B$5:$B$204,B410,EVENTS!$C$5:$C$204,C410,EVENTS!$H$5:$H$204,G410))</f>
        <v/>
      </c>
      <c r="K410" s="63" t="str">
        <f>IF(J410="","",MAX(0,1-J410/IF(PASSDOWN!$U$2="",720,PASSDOWN!$U$2)))</f>
        <v/>
      </c>
      <c r="L410" s="63" t="str">
        <f>IFERROR(INDEX(PASSDOWN!$G$11:$G$15,MATCH(C410,PASSDOWN!$A$11:$A$15,0)),"")</f>
        <v/>
      </c>
      <c r="M410" s="64" t="str">
        <f t="shared" si="12"/>
        <v/>
      </c>
      <c r="N410" s="62" t="str">
        <f t="shared" si="13"/>
        <v/>
      </c>
    </row>
    <row r="411" spans="1:14" ht="15" customHeight="1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2" t="str">
        <f>IF(OR(A411="",B411="",C411="",G411=""),"",SUMIFS(EVENTS!$G$5:$G$204,EVENTS!$A$5:$A$204,A411,EVENTS!$B$5:$B$204,B411,EVENTS!$C$5:$C$204,C411,EVENTS!$H$5:$H$204,G411))</f>
        <v/>
      </c>
      <c r="K411" s="63" t="str">
        <f>IF(J411="","",MAX(0,1-J411/IF(PASSDOWN!$U$2="",720,PASSDOWN!$U$2)))</f>
        <v/>
      </c>
      <c r="L411" s="63" t="str">
        <f>IFERROR(INDEX(PASSDOWN!$G$11:$G$15,MATCH(C411,PASSDOWN!$A$11:$A$15,0)),"")</f>
        <v/>
      </c>
      <c r="M411" s="64" t="str">
        <f t="shared" si="12"/>
        <v/>
      </c>
      <c r="N411" s="62" t="str">
        <f t="shared" si="13"/>
        <v/>
      </c>
    </row>
    <row r="412" spans="1:14" ht="15" customHeight="1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2" t="str">
        <f>IF(OR(A412="",B412="",C412="",G412=""),"",SUMIFS(EVENTS!$G$5:$G$204,EVENTS!$A$5:$A$204,A412,EVENTS!$B$5:$B$204,B412,EVENTS!$C$5:$C$204,C412,EVENTS!$H$5:$H$204,G412))</f>
        <v/>
      </c>
      <c r="K412" s="63" t="str">
        <f>IF(J412="","",MAX(0,1-J412/IF(PASSDOWN!$U$2="",720,PASSDOWN!$U$2)))</f>
        <v/>
      </c>
      <c r="L412" s="63" t="str">
        <f>IFERROR(INDEX(PASSDOWN!$G$11:$G$15,MATCH(C412,PASSDOWN!$A$11:$A$15,0)),"")</f>
        <v/>
      </c>
      <c r="M412" s="64" t="str">
        <f t="shared" si="12"/>
        <v/>
      </c>
      <c r="N412" s="62" t="str">
        <f t="shared" si="13"/>
        <v/>
      </c>
    </row>
    <row r="413" spans="1:14" ht="15" customHeight="1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2" t="str">
        <f>IF(OR(A413="",B413="",C413="",G413=""),"",SUMIFS(EVENTS!$G$5:$G$204,EVENTS!$A$5:$A$204,A413,EVENTS!$B$5:$B$204,B413,EVENTS!$C$5:$C$204,C413,EVENTS!$H$5:$H$204,G413))</f>
        <v/>
      </c>
      <c r="K413" s="63" t="str">
        <f>IF(J413="","",MAX(0,1-J413/IF(PASSDOWN!$U$2="",720,PASSDOWN!$U$2)))</f>
        <v/>
      </c>
      <c r="L413" s="63" t="str">
        <f>IFERROR(INDEX(PASSDOWN!$G$11:$G$15,MATCH(C413,PASSDOWN!$A$11:$A$15,0)),"")</f>
        <v/>
      </c>
      <c r="M413" s="64" t="str">
        <f t="shared" si="12"/>
        <v/>
      </c>
      <c r="N413" s="62" t="str">
        <f t="shared" si="13"/>
        <v/>
      </c>
    </row>
    <row r="414" spans="1:14" ht="15" customHeight="1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2" t="str">
        <f>IF(OR(A414="",B414="",C414="",G414=""),"",SUMIFS(EVENTS!$G$5:$G$204,EVENTS!$A$5:$A$204,A414,EVENTS!$B$5:$B$204,B414,EVENTS!$C$5:$C$204,C414,EVENTS!$H$5:$H$204,G414))</f>
        <v/>
      </c>
      <c r="K414" s="63" t="str">
        <f>IF(J414="","",MAX(0,1-J414/IF(PASSDOWN!$U$2="",720,PASSDOWN!$U$2)))</f>
        <v/>
      </c>
      <c r="L414" s="63" t="str">
        <f>IFERROR(INDEX(PASSDOWN!$G$11:$G$15,MATCH(C414,PASSDOWN!$A$11:$A$15,0)),"")</f>
        <v/>
      </c>
      <c r="M414" s="64" t="str">
        <f t="shared" si="12"/>
        <v/>
      </c>
      <c r="N414" s="62" t="str">
        <f t="shared" si="13"/>
        <v/>
      </c>
    </row>
    <row r="415" spans="1:14" ht="15" customHeight="1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2" t="str">
        <f>IF(OR(A415="",B415="",C415="",G415=""),"",SUMIFS(EVENTS!$G$5:$G$204,EVENTS!$A$5:$A$204,A415,EVENTS!$B$5:$B$204,B415,EVENTS!$C$5:$C$204,C415,EVENTS!$H$5:$H$204,G415))</f>
        <v/>
      </c>
      <c r="K415" s="63" t="str">
        <f>IF(J415="","",MAX(0,1-J415/IF(PASSDOWN!$U$2="",720,PASSDOWN!$U$2)))</f>
        <v/>
      </c>
      <c r="L415" s="63" t="str">
        <f>IFERROR(INDEX(PASSDOWN!$G$11:$G$15,MATCH(C415,PASSDOWN!$A$11:$A$15,0)),"")</f>
        <v/>
      </c>
      <c r="M415" s="64" t="str">
        <f t="shared" si="12"/>
        <v/>
      </c>
      <c r="N415" s="62" t="str">
        <f t="shared" si="13"/>
        <v/>
      </c>
    </row>
    <row r="416" spans="1:14" ht="15" customHeight="1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2" t="str">
        <f>IF(OR(A416="",B416="",C416="",G416=""),"",SUMIFS(EVENTS!$G$5:$G$204,EVENTS!$A$5:$A$204,A416,EVENTS!$B$5:$B$204,B416,EVENTS!$C$5:$C$204,C416,EVENTS!$H$5:$H$204,G416))</f>
        <v/>
      </c>
      <c r="K416" s="63" t="str">
        <f>IF(J416="","",MAX(0,1-J416/IF(PASSDOWN!$U$2="",720,PASSDOWN!$U$2)))</f>
        <v/>
      </c>
      <c r="L416" s="63" t="str">
        <f>IFERROR(INDEX(PASSDOWN!$G$11:$G$15,MATCH(C416,PASSDOWN!$A$11:$A$15,0)),"")</f>
        <v/>
      </c>
      <c r="M416" s="64" t="str">
        <f t="shared" si="12"/>
        <v/>
      </c>
      <c r="N416" s="62" t="str">
        <f t="shared" si="13"/>
        <v/>
      </c>
    </row>
    <row r="417" spans="1:14" ht="15" customHeight="1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2" t="str">
        <f>IF(OR(A417="",B417="",C417="",G417=""),"",SUMIFS(EVENTS!$G$5:$G$204,EVENTS!$A$5:$A$204,A417,EVENTS!$B$5:$B$204,B417,EVENTS!$C$5:$C$204,C417,EVENTS!$H$5:$H$204,G417))</f>
        <v/>
      </c>
      <c r="K417" s="63" t="str">
        <f>IF(J417="","",MAX(0,1-J417/IF(PASSDOWN!$U$2="",720,PASSDOWN!$U$2)))</f>
        <v/>
      </c>
      <c r="L417" s="63" t="str">
        <f>IFERROR(INDEX(PASSDOWN!$G$11:$G$15,MATCH(C417,PASSDOWN!$A$11:$A$15,0)),"")</f>
        <v/>
      </c>
      <c r="M417" s="64" t="str">
        <f t="shared" si="12"/>
        <v/>
      </c>
      <c r="N417" s="62" t="str">
        <f t="shared" si="13"/>
        <v/>
      </c>
    </row>
    <row r="418" spans="1:14" ht="15" customHeight="1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2" t="str">
        <f>IF(OR(A418="",B418="",C418="",G418=""),"",SUMIFS(EVENTS!$G$5:$G$204,EVENTS!$A$5:$A$204,A418,EVENTS!$B$5:$B$204,B418,EVENTS!$C$5:$C$204,C418,EVENTS!$H$5:$H$204,G418))</f>
        <v/>
      </c>
      <c r="K418" s="63" t="str">
        <f>IF(J418="","",MAX(0,1-J418/IF(PASSDOWN!$U$2="",720,PASSDOWN!$U$2)))</f>
        <v/>
      </c>
      <c r="L418" s="63" t="str">
        <f>IFERROR(INDEX(PASSDOWN!$G$11:$G$15,MATCH(C418,PASSDOWN!$A$11:$A$15,0)),"")</f>
        <v/>
      </c>
      <c r="M418" s="64" t="str">
        <f t="shared" si="12"/>
        <v/>
      </c>
      <c r="N418" s="62" t="str">
        <f t="shared" si="13"/>
        <v/>
      </c>
    </row>
    <row r="419" spans="1:14" ht="15" customHeight="1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2" t="str">
        <f>IF(OR(A419="",B419="",C419="",G419=""),"",SUMIFS(EVENTS!$G$5:$G$204,EVENTS!$A$5:$A$204,A419,EVENTS!$B$5:$B$204,B419,EVENTS!$C$5:$C$204,C419,EVENTS!$H$5:$H$204,G419))</f>
        <v/>
      </c>
      <c r="K419" s="63" t="str">
        <f>IF(J419="","",MAX(0,1-J419/IF(PASSDOWN!$U$2="",720,PASSDOWN!$U$2)))</f>
        <v/>
      </c>
      <c r="L419" s="63" t="str">
        <f>IFERROR(INDEX(PASSDOWN!$G$11:$G$15,MATCH(C419,PASSDOWN!$A$11:$A$15,0)),"")</f>
        <v/>
      </c>
      <c r="M419" s="64" t="str">
        <f t="shared" si="12"/>
        <v/>
      </c>
      <c r="N419" s="62" t="str">
        <f t="shared" si="13"/>
        <v/>
      </c>
    </row>
    <row r="420" spans="1:14" ht="15" customHeight="1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2" t="str">
        <f>IF(OR(A420="",B420="",C420="",G420=""),"",SUMIFS(EVENTS!$G$5:$G$204,EVENTS!$A$5:$A$204,A420,EVENTS!$B$5:$B$204,B420,EVENTS!$C$5:$C$204,C420,EVENTS!$H$5:$H$204,G420))</f>
        <v/>
      </c>
      <c r="K420" s="63" t="str">
        <f>IF(J420="","",MAX(0,1-J420/IF(PASSDOWN!$U$2="",720,PASSDOWN!$U$2)))</f>
        <v/>
      </c>
      <c r="L420" s="63" t="str">
        <f>IFERROR(INDEX(PASSDOWN!$G$11:$G$15,MATCH(C420,PASSDOWN!$A$11:$A$15,0)),"")</f>
        <v/>
      </c>
      <c r="M420" s="64" t="str">
        <f t="shared" si="12"/>
        <v/>
      </c>
      <c r="N420" s="62" t="str">
        <f t="shared" si="13"/>
        <v/>
      </c>
    </row>
    <row r="421" spans="1:14" ht="15" customHeight="1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2" t="str">
        <f>IF(OR(A421="",B421="",C421="",G421=""),"",SUMIFS(EVENTS!$G$5:$G$204,EVENTS!$A$5:$A$204,A421,EVENTS!$B$5:$B$204,B421,EVENTS!$C$5:$C$204,C421,EVENTS!$H$5:$H$204,G421))</f>
        <v/>
      </c>
      <c r="K421" s="63" t="str">
        <f>IF(J421="","",MAX(0,1-J421/IF(PASSDOWN!$U$2="",720,PASSDOWN!$U$2)))</f>
        <v/>
      </c>
      <c r="L421" s="63" t="str">
        <f>IFERROR(INDEX(PASSDOWN!$G$11:$G$15,MATCH(C421,PASSDOWN!$A$11:$A$15,0)),"")</f>
        <v/>
      </c>
      <c r="M421" s="64" t="str">
        <f t="shared" si="12"/>
        <v/>
      </c>
      <c r="N421" s="62" t="str">
        <f t="shared" si="13"/>
        <v/>
      </c>
    </row>
    <row r="422" spans="1:14" ht="15" customHeight="1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2" t="str">
        <f>IF(OR(A422="",B422="",C422="",G422=""),"",SUMIFS(EVENTS!$G$5:$G$204,EVENTS!$A$5:$A$204,A422,EVENTS!$B$5:$B$204,B422,EVENTS!$C$5:$C$204,C422,EVENTS!$H$5:$H$204,G422))</f>
        <v/>
      </c>
      <c r="K422" s="63" t="str">
        <f>IF(J422="","",MAX(0,1-J422/IF(PASSDOWN!$U$2="",720,PASSDOWN!$U$2)))</f>
        <v/>
      </c>
      <c r="L422" s="63" t="str">
        <f>IFERROR(INDEX(PASSDOWN!$G$11:$G$15,MATCH(C422,PASSDOWN!$A$11:$A$15,0)),"")</f>
        <v/>
      </c>
      <c r="M422" s="64" t="str">
        <f t="shared" si="12"/>
        <v/>
      </c>
      <c r="N422" s="62" t="str">
        <f t="shared" si="13"/>
        <v/>
      </c>
    </row>
    <row r="423" spans="1:14" ht="15" customHeight="1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2" t="str">
        <f>IF(OR(A423="",B423="",C423="",G423=""),"",SUMIFS(EVENTS!$G$5:$G$204,EVENTS!$A$5:$A$204,A423,EVENTS!$B$5:$B$204,B423,EVENTS!$C$5:$C$204,C423,EVENTS!$H$5:$H$204,G423))</f>
        <v/>
      </c>
      <c r="K423" s="63" t="str">
        <f>IF(J423="","",MAX(0,1-J423/IF(PASSDOWN!$U$2="",720,PASSDOWN!$U$2)))</f>
        <v/>
      </c>
      <c r="L423" s="63" t="str">
        <f>IFERROR(INDEX(PASSDOWN!$G$11:$G$15,MATCH(C423,PASSDOWN!$A$11:$A$15,0)),"")</f>
        <v/>
      </c>
      <c r="M423" s="64" t="str">
        <f t="shared" si="12"/>
        <v/>
      </c>
      <c r="N423" s="62" t="str">
        <f t="shared" si="13"/>
        <v/>
      </c>
    </row>
    <row r="424" spans="1:14" ht="15" customHeight="1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2" t="str">
        <f>IF(OR(A424="",B424="",C424="",G424=""),"",SUMIFS(EVENTS!$G$5:$G$204,EVENTS!$A$5:$A$204,A424,EVENTS!$B$5:$B$204,B424,EVENTS!$C$5:$C$204,C424,EVENTS!$H$5:$H$204,G424))</f>
        <v/>
      </c>
      <c r="K424" s="63" t="str">
        <f>IF(J424="","",MAX(0,1-J424/IF(PASSDOWN!$U$2="",720,PASSDOWN!$U$2)))</f>
        <v/>
      </c>
      <c r="L424" s="63" t="str">
        <f>IFERROR(INDEX(PASSDOWN!$G$11:$G$15,MATCH(C424,PASSDOWN!$A$11:$A$15,0)),"")</f>
        <v/>
      </c>
      <c r="M424" s="64" t="str">
        <f t="shared" si="12"/>
        <v/>
      </c>
      <c r="N424" s="62" t="str">
        <f t="shared" si="13"/>
        <v/>
      </c>
    </row>
    <row r="425" spans="1:14" ht="15" customHeight="1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2" t="str">
        <f>IF(OR(A425="",B425="",C425="",G425=""),"",SUMIFS(EVENTS!$G$5:$G$204,EVENTS!$A$5:$A$204,A425,EVENTS!$B$5:$B$204,B425,EVENTS!$C$5:$C$204,C425,EVENTS!$H$5:$H$204,G425))</f>
        <v/>
      </c>
      <c r="K425" s="63" t="str">
        <f>IF(J425="","",MAX(0,1-J425/IF(PASSDOWN!$U$2="",720,PASSDOWN!$U$2)))</f>
        <v/>
      </c>
      <c r="L425" s="63" t="str">
        <f>IFERROR(INDEX(PASSDOWN!$G$11:$G$15,MATCH(C425,PASSDOWN!$A$11:$A$15,0)),"")</f>
        <v/>
      </c>
      <c r="M425" s="64" t="str">
        <f t="shared" si="12"/>
        <v/>
      </c>
      <c r="N425" s="62" t="str">
        <f t="shared" si="13"/>
        <v/>
      </c>
    </row>
    <row r="426" spans="1:14" ht="15" customHeight="1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2" t="str">
        <f>IF(OR(A426="",B426="",C426="",G426=""),"",SUMIFS(EVENTS!$G$5:$G$204,EVENTS!$A$5:$A$204,A426,EVENTS!$B$5:$B$204,B426,EVENTS!$C$5:$C$204,C426,EVENTS!$H$5:$H$204,G426))</f>
        <v/>
      </c>
      <c r="K426" s="63" t="str">
        <f>IF(J426="","",MAX(0,1-J426/IF(PASSDOWN!$U$2="",720,PASSDOWN!$U$2)))</f>
        <v/>
      </c>
      <c r="L426" s="63" t="str">
        <f>IFERROR(INDEX(PASSDOWN!$G$11:$G$15,MATCH(C426,PASSDOWN!$A$11:$A$15,0)),"")</f>
        <v/>
      </c>
      <c r="M426" s="64" t="str">
        <f t="shared" si="12"/>
        <v/>
      </c>
      <c r="N426" s="62" t="str">
        <f t="shared" si="13"/>
        <v/>
      </c>
    </row>
    <row r="427" spans="1:14" ht="15" customHeight="1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2" t="str">
        <f>IF(OR(A427="",B427="",C427="",G427=""),"",SUMIFS(EVENTS!$G$5:$G$204,EVENTS!$A$5:$A$204,A427,EVENTS!$B$5:$B$204,B427,EVENTS!$C$5:$C$204,C427,EVENTS!$H$5:$H$204,G427))</f>
        <v/>
      </c>
      <c r="K427" s="63" t="str">
        <f>IF(J427="","",MAX(0,1-J427/IF(PASSDOWN!$U$2="",720,PASSDOWN!$U$2)))</f>
        <v/>
      </c>
      <c r="L427" s="63" t="str">
        <f>IFERROR(INDEX(PASSDOWN!$G$11:$G$15,MATCH(C427,PASSDOWN!$A$11:$A$15,0)),"")</f>
        <v/>
      </c>
      <c r="M427" s="64" t="str">
        <f t="shared" si="12"/>
        <v/>
      </c>
      <c r="N427" s="62" t="str">
        <f t="shared" si="13"/>
        <v/>
      </c>
    </row>
    <row r="428" spans="1:14" ht="15" customHeight="1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2" t="str">
        <f>IF(OR(A428="",B428="",C428="",G428=""),"",SUMIFS(EVENTS!$G$5:$G$204,EVENTS!$A$5:$A$204,A428,EVENTS!$B$5:$B$204,B428,EVENTS!$C$5:$C$204,C428,EVENTS!$H$5:$H$204,G428))</f>
        <v/>
      </c>
      <c r="K428" s="63" t="str">
        <f>IF(J428="","",MAX(0,1-J428/IF(PASSDOWN!$U$2="",720,PASSDOWN!$U$2)))</f>
        <v/>
      </c>
      <c r="L428" s="63" t="str">
        <f>IFERROR(INDEX(PASSDOWN!$G$11:$G$15,MATCH(C428,PASSDOWN!$A$11:$A$15,0)),"")</f>
        <v/>
      </c>
      <c r="M428" s="64" t="str">
        <f t="shared" si="12"/>
        <v/>
      </c>
      <c r="N428" s="62" t="str">
        <f t="shared" si="13"/>
        <v/>
      </c>
    </row>
    <row r="429" spans="1:14" ht="15" customHeight="1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2" t="str">
        <f>IF(OR(A429="",B429="",C429="",G429=""),"",SUMIFS(EVENTS!$G$5:$G$204,EVENTS!$A$5:$A$204,A429,EVENTS!$B$5:$B$204,B429,EVENTS!$C$5:$C$204,C429,EVENTS!$H$5:$H$204,G429))</f>
        <v/>
      </c>
      <c r="K429" s="63" t="str">
        <f>IF(J429="","",MAX(0,1-J429/IF(PASSDOWN!$U$2="",720,PASSDOWN!$U$2)))</f>
        <v/>
      </c>
      <c r="L429" s="63" t="str">
        <f>IFERROR(INDEX(PASSDOWN!$G$11:$G$15,MATCH(C429,PASSDOWN!$A$11:$A$15,0)),"")</f>
        <v/>
      </c>
      <c r="M429" s="64" t="str">
        <f t="shared" si="12"/>
        <v/>
      </c>
      <c r="N429" s="62" t="str">
        <f t="shared" si="13"/>
        <v/>
      </c>
    </row>
    <row r="430" spans="1:14" ht="15" customHeight="1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2" t="str">
        <f>IF(OR(A430="",B430="",C430="",G430=""),"",SUMIFS(EVENTS!$G$5:$G$204,EVENTS!$A$5:$A$204,A430,EVENTS!$B$5:$B$204,B430,EVENTS!$C$5:$C$204,C430,EVENTS!$H$5:$H$204,G430))</f>
        <v/>
      </c>
      <c r="K430" s="63" t="str">
        <f>IF(J430="","",MAX(0,1-J430/IF(PASSDOWN!$U$2="",720,PASSDOWN!$U$2)))</f>
        <v/>
      </c>
      <c r="L430" s="63" t="str">
        <f>IFERROR(INDEX(PASSDOWN!$G$11:$G$15,MATCH(C430,PASSDOWN!$A$11:$A$15,0)),"")</f>
        <v/>
      </c>
      <c r="M430" s="64" t="str">
        <f t="shared" si="12"/>
        <v/>
      </c>
      <c r="N430" s="62" t="str">
        <f t="shared" si="13"/>
        <v/>
      </c>
    </row>
    <row r="431" spans="1:14" ht="15" customHeight="1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2" t="str">
        <f>IF(OR(A431="",B431="",C431="",G431=""),"",SUMIFS(EVENTS!$G$5:$G$204,EVENTS!$A$5:$A$204,A431,EVENTS!$B$5:$B$204,B431,EVENTS!$C$5:$C$204,C431,EVENTS!$H$5:$H$204,G431))</f>
        <v/>
      </c>
      <c r="K431" s="63" t="str">
        <f>IF(J431="","",MAX(0,1-J431/IF(PASSDOWN!$U$2="",720,PASSDOWN!$U$2)))</f>
        <v/>
      </c>
      <c r="L431" s="63" t="str">
        <f>IFERROR(INDEX(PASSDOWN!$G$11:$G$15,MATCH(C431,PASSDOWN!$A$11:$A$15,0)),"")</f>
        <v/>
      </c>
      <c r="M431" s="64" t="str">
        <f t="shared" si="12"/>
        <v/>
      </c>
      <c r="N431" s="62" t="str">
        <f t="shared" si="13"/>
        <v/>
      </c>
    </row>
    <row r="432" spans="1:14" ht="15" customHeight="1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2" t="str">
        <f>IF(OR(A432="",B432="",C432="",G432=""),"",SUMIFS(EVENTS!$G$5:$G$204,EVENTS!$A$5:$A$204,A432,EVENTS!$B$5:$B$204,B432,EVENTS!$C$5:$C$204,C432,EVENTS!$H$5:$H$204,G432))</f>
        <v/>
      </c>
      <c r="K432" s="63" t="str">
        <f>IF(J432="","",MAX(0,1-J432/IF(PASSDOWN!$U$2="",720,PASSDOWN!$U$2)))</f>
        <v/>
      </c>
      <c r="L432" s="63" t="str">
        <f>IFERROR(INDEX(PASSDOWN!$G$11:$G$15,MATCH(C432,PASSDOWN!$A$11:$A$15,0)),"")</f>
        <v/>
      </c>
      <c r="M432" s="64" t="str">
        <f t="shared" si="12"/>
        <v/>
      </c>
      <c r="N432" s="62" t="str">
        <f t="shared" si="13"/>
        <v/>
      </c>
    </row>
    <row r="433" spans="1:14" ht="15" customHeight="1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2" t="str">
        <f>IF(OR(A433="",B433="",C433="",G433=""),"",SUMIFS(EVENTS!$G$5:$G$204,EVENTS!$A$5:$A$204,A433,EVENTS!$B$5:$B$204,B433,EVENTS!$C$5:$C$204,C433,EVENTS!$H$5:$H$204,G433))</f>
        <v/>
      </c>
      <c r="K433" s="63" t="str">
        <f>IF(J433="","",MAX(0,1-J433/IF(PASSDOWN!$U$2="",720,PASSDOWN!$U$2)))</f>
        <v/>
      </c>
      <c r="L433" s="63" t="str">
        <f>IFERROR(INDEX(PASSDOWN!$G$11:$G$15,MATCH(C433,PASSDOWN!$A$11:$A$15,0)),"")</f>
        <v/>
      </c>
      <c r="M433" s="64" t="str">
        <f t="shared" si="12"/>
        <v/>
      </c>
      <c r="N433" s="62" t="str">
        <f t="shared" si="13"/>
        <v/>
      </c>
    </row>
    <row r="434" spans="1:14" ht="15" customHeight="1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2" t="str">
        <f>IF(OR(A434="",B434="",C434="",G434=""),"",SUMIFS(EVENTS!$G$5:$G$204,EVENTS!$A$5:$A$204,A434,EVENTS!$B$5:$B$204,B434,EVENTS!$C$5:$C$204,C434,EVENTS!$H$5:$H$204,G434))</f>
        <v/>
      </c>
      <c r="K434" s="63" t="str">
        <f>IF(J434="","",MAX(0,1-J434/IF(PASSDOWN!$U$2="",720,PASSDOWN!$U$2)))</f>
        <v/>
      </c>
      <c r="L434" s="63" t="str">
        <f>IFERROR(INDEX(PASSDOWN!$G$11:$G$15,MATCH(C434,PASSDOWN!$A$11:$A$15,0)),"")</f>
        <v/>
      </c>
      <c r="M434" s="64" t="str">
        <f t="shared" si="12"/>
        <v/>
      </c>
      <c r="N434" s="62" t="str">
        <f t="shared" si="13"/>
        <v/>
      </c>
    </row>
    <row r="435" spans="1:14" ht="15" customHeight="1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2" t="str">
        <f>IF(OR(A435="",B435="",C435="",G435=""),"",SUMIFS(EVENTS!$G$5:$G$204,EVENTS!$A$5:$A$204,A435,EVENTS!$B$5:$B$204,B435,EVENTS!$C$5:$C$204,C435,EVENTS!$H$5:$H$204,G435))</f>
        <v/>
      </c>
      <c r="K435" s="63" t="str">
        <f>IF(J435="","",MAX(0,1-J435/IF(PASSDOWN!$U$2="",720,PASSDOWN!$U$2)))</f>
        <v/>
      </c>
      <c r="L435" s="63" t="str">
        <f>IFERROR(INDEX(PASSDOWN!$G$11:$G$15,MATCH(C435,PASSDOWN!$A$11:$A$15,0)),"")</f>
        <v/>
      </c>
      <c r="M435" s="64" t="str">
        <f t="shared" si="12"/>
        <v/>
      </c>
      <c r="N435" s="62" t="str">
        <f t="shared" si="13"/>
        <v/>
      </c>
    </row>
    <row r="436" spans="1:14" ht="15" customHeight="1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2" t="str">
        <f>IF(OR(A436="",B436="",C436="",G436=""),"",SUMIFS(EVENTS!$G$5:$G$204,EVENTS!$A$5:$A$204,A436,EVENTS!$B$5:$B$204,B436,EVENTS!$C$5:$C$204,C436,EVENTS!$H$5:$H$204,G436))</f>
        <v/>
      </c>
      <c r="K436" s="63" t="str">
        <f>IF(J436="","",MAX(0,1-J436/IF(PASSDOWN!$U$2="",720,PASSDOWN!$U$2)))</f>
        <v/>
      </c>
      <c r="L436" s="63" t="str">
        <f>IFERROR(INDEX(PASSDOWN!$G$11:$G$15,MATCH(C436,PASSDOWN!$A$11:$A$15,0)),"")</f>
        <v/>
      </c>
      <c r="M436" s="64" t="str">
        <f t="shared" si="12"/>
        <v/>
      </c>
      <c r="N436" s="62" t="str">
        <f t="shared" si="13"/>
        <v/>
      </c>
    </row>
    <row r="437" spans="1:14" ht="15" customHeight="1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2" t="str">
        <f>IF(OR(A437="",B437="",C437="",G437=""),"",SUMIFS(EVENTS!$G$5:$G$204,EVENTS!$A$5:$A$204,A437,EVENTS!$B$5:$B$204,B437,EVENTS!$C$5:$C$204,C437,EVENTS!$H$5:$H$204,G437))</f>
        <v/>
      </c>
      <c r="K437" s="63" t="str">
        <f>IF(J437="","",MAX(0,1-J437/IF(PASSDOWN!$U$2="",720,PASSDOWN!$U$2)))</f>
        <v/>
      </c>
      <c r="L437" s="63" t="str">
        <f>IFERROR(INDEX(PASSDOWN!$G$11:$G$15,MATCH(C437,PASSDOWN!$A$11:$A$15,0)),"")</f>
        <v/>
      </c>
      <c r="M437" s="64" t="str">
        <f t="shared" si="12"/>
        <v/>
      </c>
      <c r="N437" s="62" t="str">
        <f t="shared" si="13"/>
        <v/>
      </c>
    </row>
    <row r="438" spans="1:14" ht="15" customHeight="1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2" t="str">
        <f>IF(OR(A438="",B438="",C438="",G438=""),"",SUMIFS(EVENTS!$G$5:$G$204,EVENTS!$A$5:$A$204,A438,EVENTS!$B$5:$B$204,B438,EVENTS!$C$5:$C$204,C438,EVENTS!$H$5:$H$204,G438))</f>
        <v/>
      </c>
      <c r="K438" s="63" t="str">
        <f>IF(J438="","",MAX(0,1-J438/IF(PASSDOWN!$U$2="",720,PASSDOWN!$U$2)))</f>
        <v/>
      </c>
      <c r="L438" s="63" t="str">
        <f>IFERROR(INDEX(PASSDOWN!$G$11:$G$15,MATCH(C438,PASSDOWN!$A$11:$A$15,0)),"")</f>
        <v/>
      </c>
      <c r="M438" s="64" t="str">
        <f t="shared" si="12"/>
        <v/>
      </c>
      <c r="N438" s="62" t="str">
        <f t="shared" si="13"/>
        <v/>
      </c>
    </row>
    <row r="439" spans="1:14" ht="15" customHeight="1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2" t="str">
        <f>IF(OR(A439="",B439="",C439="",G439=""),"",SUMIFS(EVENTS!$G$5:$G$204,EVENTS!$A$5:$A$204,A439,EVENTS!$B$5:$B$204,B439,EVENTS!$C$5:$C$204,C439,EVENTS!$H$5:$H$204,G439))</f>
        <v/>
      </c>
      <c r="K439" s="63" t="str">
        <f>IF(J439="","",MAX(0,1-J439/IF(PASSDOWN!$U$2="",720,PASSDOWN!$U$2)))</f>
        <v/>
      </c>
      <c r="L439" s="63" t="str">
        <f>IFERROR(INDEX(PASSDOWN!$G$11:$G$15,MATCH(C439,PASSDOWN!$A$11:$A$15,0)),"")</f>
        <v/>
      </c>
      <c r="M439" s="64" t="str">
        <f t="shared" si="12"/>
        <v/>
      </c>
      <c r="N439" s="62" t="str">
        <f t="shared" si="13"/>
        <v/>
      </c>
    </row>
    <row r="440" spans="1:14" ht="15" customHeight="1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2" t="str">
        <f>IF(OR(A440="",B440="",C440="",G440=""),"",SUMIFS(EVENTS!$G$5:$G$204,EVENTS!$A$5:$A$204,A440,EVENTS!$B$5:$B$204,B440,EVENTS!$C$5:$C$204,C440,EVENTS!$H$5:$H$204,G440))</f>
        <v/>
      </c>
      <c r="K440" s="63" t="str">
        <f>IF(J440="","",MAX(0,1-J440/IF(PASSDOWN!$U$2="",720,PASSDOWN!$U$2)))</f>
        <v/>
      </c>
      <c r="L440" s="63" t="str">
        <f>IFERROR(INDEX(PASSDOWN!$G$11:$G$15,MATCH(C440,PASSDOWN!$A$11:$A$15,0)),"")</f>
        <v/>
      </c>
      <c r="M440" s="64" t="str">
        <f t="shared" si="12"/>
        <v/>
      </c>
      <c r="N440" s="62" t="str">
        <f t="shared" si="13"/>
        <v/>
      </c>
    </row>
    <row r="441" spans="1:14" ht="15" customHeight="1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2" t="str">
        <f>IF(OR(A441="",B441="",C441="",G441=""),"",SUMIFS(EVENTS!$G$5:$G$204,EVENTS!$A$5:$A$204,A441,EVENTS!$B$5:$B$204,B441,EVENTS!$C$5:$C$204,C441,EVENTS!$H$5:$H$204,G441))</f>
        <v/>
      </c>
      <c r="K441" s="63" t="str">
        <f>IF(J441="","",MAX(0,1-J441/IF(PASSDOWN!$U$2="",720,PASSDOWN!$U$2)))</f>
        <v/>
      </c>
      <c r="L441" s="63" t="str">
        <f>IFERROR(INDEX(PASSDOWN!$G$11:$G$15,MATCH(C441,PASSDOWN!$A$11:$A$15,0)),"")</f>
        <v/>
      </c>
      <c r="M441" s="64" t="str">
        <f t="shared" si="12"/>
        <v/>
      </c>
      <c r="N441" s="62" t="str">
        <f t="shared" si="13"/>
        <v/>
      </c>
    </row>
    <row r="442" spans="1:14" ht="15" customHeight="1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2" t="str">
        <f>IF(OR(A442="",B442="",C442="",G442=""),"",SUMIFS(EVENTS!$G$5:$G$204,EVENTS!$A$5:$A$204,A442,EVENTS!$B$5:$B$204,B442,EVENTS!$C$5:$C$204,C442,EVENTS!$H$5:$H$204,G442))</f>
        <v/>
      </c>
      <c r="K442" s="63" t="str">
        <f>IF(J442="","",MAX(0,1-J442/IF(PASSDOWN!$U$2="",720,PASSDOWN!$U$2)))</f>
        <v/>
      </c>
      <c r="L442" s="63" t="str">
        <f>IFERROR(INDEX(PASSDOWN!$G$11:$G$15,MATCH(C442,PASSDOWN!$A$11:$A$15,0)),"")</f>
        <v/>
      </c>
      <c r="M442" s="64" t="str">
        <f t="shared" si="12"/>
        <v/>
      </c>
      <c r="N442" s="62" t="str">
        <f t="shared" si="13"/>
        <v/>
      </c>
    </row>
    <row r="443" spans="1:14" ht="15" customHeight="1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2" t="str">
        <f>IF(OR(A443="",B443="",C443="",G443=""),"",SUMIFS(EVENTS!$G$5:$G$204,EVENTS!$A$5:$A$204,A443,EVENTS!$B$5:$B$204,B443,EVENTS!$C$5:$C$204,C443,EVENTS!$H$5:$H$204,G443))</f>
        <v/>
      </c>
      <c r="K443" s="63" t="str">
        <f>IF(J443="","",MAX(0,1-J443/IF(PASSDOWN!$U$2="",720,PASSDOWN!$U$2)))</f>
        <v/>
      </c>
      <c r="L443" s="63" t="str">
        <f>IFERROR(INDEX(PASSDOWN!$G$11:$G$15,MATCH(C443,PASSDOWN!$A$11:$A$15,0)),"")</f>
        <v/>
      </c>
      <c r="M443" s="64" t="str">
        <f t="shared" si="12"/>
        <v/>
      </c>
      <c r="N443" s="62" t="str">
        <f t="shared" si="13"/>
        <v/>
      </c>
    </row>
    <row r="444" spans="1:14" ht="15" customHeight="1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2" t="str">
        <f>IF(OR(A444="",B444="",C444="",G444=""),"",SUMIFS(EVENTS!$G$5:$G$204,EVENTS!$A$5:$A$204,A444,EVENTS!$B$5:$B$204,B444,EVENTS!$C$5:$C$204,C444,EVENTS!$H$5:$H$204,G444))</f>
        <v/>
      </c>
      <c r="K444" s="63" t="str">
        <f>IF(J444="","",MAX(0,1-J444/IF(PASSDOWN!$U$2="",720,PASSDOWN!$U$2)))</f>
        <v/>
      </c>
      <c r="L444" s="63" t="str">
        <f>IFERROR(INDEX(PASSDOWN!$G$11:$G$15,MATCH(C444,PASSDOWN!$A$11:$A$15,0)),"")</f>
        <v/>
      </c>
      <c r="M444" s="64" t="str">
        <f t="shared" si="12"/>
        <v/>
      </c>
      <c r="N444" s="62" t="str">
        <f t="shared" si="13"/>
        <v/>
      </c>
    </row>
    <row r="445" spans="1:14" ht="15" customHeight="1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2" t="str">
        <f>IF(OR(A445="",B445="",C445="",G445=""),"",SUMIFS(EVENTS!$G$5:$G$204,EVENTS!$A$5:$A$204,A445,EVENTS!$B$5:$B$204,B445,EVENTS!$C$5:$C$204,C445,EVENTS!$H$5:$H$204,G445))</f>
        <v/>
      </c>
      <c r="K445" s="63" t="str">
        <f>IF(J445="","",MAX(0,1-J445/IF(PASSDOWN!$U$2="",720,PASSDOWN!$U$2)))</f>
        <v/>
      </c>
      <c r="L445" s="63" t="str">
        <f>IFERROR(INDEX(PASSDOWN!$G$11:$G$15,MATCH(C445,PASSDOWN!$A$11:$A$15,0)),"")</f>
        <v/>
      </c>
      <c r="M445" s="64" t="str">
        <f t="shared" si="12"/>
        <v/>
      </c>
      <c r="N445" s="62" t="str">
        <f t="shared" si="13"/>
        <v/>
      </c>
    </row>
    <row r="446" spans="1:14" ht="15" customHeight="1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2" t="str">
        <f>IF(OR(A446="",B446="",C446="",G446=""),"",SUMIFS(EVENTS!$G$5:$G$204,EVENTS!$A$5:$A$204,A446,EVENTS!$B$5:$B$204,B446,EVENTS!$C$5:$C$204,C446,EVENTS!$H$5:$H$204,G446))</f>
        <v/>
      </c>
      <c r="K446" s="63" t="str">
        <f>IF(J446="","",MAX(0,1-J446/IF(PASSDOWN!$U$2="",720,PASSDOWN!$U$2)))</f>
        <v/>
      </c>
      <c r="L446" s="63" t="str">
        <f>IFERROR(INDEX(PASSDOWN!$G$11:$G$15,MATCH(C446,PASSDOWN!$A$11:$A$15,0)),"")</f>
        <v/>
      </c>
      <c r="M446" s="64" t="str">
        <f t="shared" si="12"/>
        <v/>
      </c>
      <c r="N446" s="62" t="str">
        <f t="shared" si="13"/>
        <v/>
      </c>
    </row>
    <row r="447" spans="1:14" ht="15" customHeight="1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2" t="str">
        <f>IF(OR(A447="",B447="",C447="",G447=""),"",SUMIFS(EVENTS!$G$5:$G$204,EVENTS!$A$5:$A$204,A447,EVENTS!$B$5:$B$204,B447,EVENTS!$C$5:$C$204,C447,EVENTS!$H$5:$H$204,G447))</f>
        <v/>
      </c>
      <c r="K447" s="63" t="str">
        <f>IF(J447="","",MAX(0,1-J447/IF(PASSDOWN!$U$2="",720,PASSDOWN!$U$2)))</f>
        <v/>
      </c>
      <c r="L447" s="63" t="str">
        <f>IFERROR(INDEX(PASSDOWN!$G$11:$G$15,MATCH(C447,PASSDOWN!$A$11:$A$15,0)),"")</f>
        <v/>
      </c>
      <c r="M447" s="64" t="str">
        <f t="shared" si="12"/>
        <v/>
      </c>
      <c r="N447" s="62" t="str">
        <f t="shared" si="13"/>
        <v/>
      </c>
    </row>
    <row r="448" spans="1:14" ht="15" customHeight="1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2" t="str">
        <f>IF(OR(A448="",B448="",C448="",G448=""),"",SUMIFS(EVENTS!$G$5:$G$204,EVENTS!$A$5:$A$204,A448,EVENTS!$B$5:$B$204,B448,EVENTS!$C$5:$C$204,C448,EVENTS!$H$5:$H$204,G448))</f>
        <v/>
      </c>
      <c r="K448" s="63" t="str">
        <f>IF(J448="","",MAX(0,1-J448/IF(PASSDOWN!$U$2="",720,PASSDOWN!$U$2)))</f>
        <v/>
      </c>
      <c r="L448" s="63" t="str">
        <f>IFERROR(INDEX(PASSDOWN!$G$11:$G$15,MATCH(C448,PASSDOWN!$A$11:$A$15,0)),"")</f>
        <v/>
      </c>
      <c r="M448" s="64" t="str">
        <f t="shared" si="12"/>
        <v/>
      </c>
      <c r="N448" s="62" t="str">
        <f t="shared" si="13"/>
        <v/>
      </c>
    </row>
    <row r="449" spans="1:14" ht="15" customHeight="1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2" t="str">
        <f>IF(OR(A449="",B449="",C449="",G449=""),"",SUMIFS(EVENTS!$G$5:$G$204,EVENTS!$A$5:$A$204,A449,EVENTS!$B$5:$B$204,B449,EVENTS!$C$5:$C$204,C449,EVENTS!$H$5:$H$204,G449))</f>
        <v/>
      </c>
      <c r="K449" s="63" t="str">
        <f>IF(J449="","",MAX(0,1-J449/IF(PASSDOWN!$U$2="",720,PASSDOWN!$U$2)))</f>
        <v/>
      </c>
      <c r="L449" s="63" t="str">
        <f>IFERROR(INDEX(PASSDOWN!$G$11:$G$15,MATCH(C449,PASSDOWN!$A$11:$A$15,0)),"")</f>
        <v/>
      </c>
      <c r="M449" s="64" t="str">
        <f t="shared" si="12"/>
        <v/>
      </c>
      <c r="N449" s="62" t="str">
        <f t="shared" si="13"/>
        <v/>
      </c>
    </row>
    <row r="450" spans="1:14" ht="15" customHeight="1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2" t="str">
        <f>IF(OR(A450="",B450="",C450="",G450=""),"",SUMIFS(EVENTS!$G$5:$G$204,EVENTS!$A$5:$A$204,A450,EVENTS!$B$5:$B$204,B450,EVENTS!$C$5:$C$204,C450,EVENTS!$H$5:$H$204,G450))</f>
        <v/>
      </c>
      <c r="K450" s="63" t="str">
        <f>IF(J450="","",MAX(0,1-J450/IF(PASSDOWN!$U$2="",720,PASSDOWN!$U$2)))</f>
        <v/>
      </c>
      <c r="L450" s="63" t="str">
        <f>IFERROR(INDEX(PASSDOWN!$G$11:$G$15,MATCH(C450,PASSDOWN!$A$11:$A$15,0)),"")</f>
        <v/>
      </c>
      <c r="M450" s="64" t="str">
        <f t="shared" si="12"/>
        <v/>
      </c>
      <c r="N450" s="62" t="str">
        <f t="shared" si="13"/>
        <v/>
      </c>
    </row>
    <row r="451" spans="1:14" ht="15" customHeight="1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2" t="str">
        <f>IF(OR(A451="",B451="",C451="",G451=""),"",SUMIFS(EVENTS!$G$5:$G$204,EVENTS!$A$5:$A$204,A451,EVENTS!$B$5:$B$204,B451,EVENTS!$C$5:$C$204,C451,EVENTS!$H$5:$H$204,G451))</f>
        <v/>
      </c>
      <c r="K451" s="63" t="str">
        <f>IF(J451="","",MAX(0,1-J451/IF(PASSDOWN!$U$2="",720,PASSDOWN!$U$2)))</f>
        <v/>
      </c>
      <c r="L451" s="63" t="str">
        <f>IFERROR(INDEX(PASSDOWN!$G$11:$G$15,MATCH(C451,PASSDOWN!$A$11:$A$15,0)),"")</f>
        <v/>
      </c>
      <c r="M451" s="64" t="str">
        <f t="shared" ref="M451:M514" si="14">IF(OR(K451="",L451=""),"",ROUND(100*K451*IF(L451&gt;1,L451/100,L451),0))</f>
        <v/>
      </c>
      <c r="N451" s="62" t="str">
        <f t="shared" ref="N451:N514" si="15">IF(M451="","",IF(M451&gt;=90,"A",IF(M451&gt;=80,"B",IF(M451&gt;=70,"C",IF(M451&gt;=60,"D","F")))))</f>
        <v/>
      </c>
    </row>
    <row r="452" spans="1:14" ht="15" customHeight="1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2" t="str">
        <f>IF(OR(A452="",B452="",C452="",G452=""),"",SUMIFS(EVENTS!$G$5:$G$204,EVENTS!$A$5:$A$204,A452,EVENTS!$B$5:$B$204,B452,EVENTS!$C$5:$C$204,C452,EVENTS!$H$5:$H$204,G452))</f>
        <v/>
      </c>
      <c r="K452" s="63" t="str">
        <f>IF(J452="","",MAX(0,1-J452/IF(PASSDOWN!$U$2="",720,PASSDOWN!$U$2)))</f>
        <v/>
      </c>
      <c r="L452" s="63" t="str">
        <f>IFERROR(INDEX(PASSDOWN!$G$11:$G$15,MATCH(C452,PASSDOWN!$A$11:$A$15,0)),"")</f>
        <v/>
      </c>
      <c r="M452" s="64" t="str">
        <f t="shared" si="14"/>
        <v/>
      </c>
      <c r="N452" s="62" t="str">
        <f t="shared" si="15"/>
        <v/>
      </c>
    </row>
    <row r="453" spans="1:14" ht="15" customHeight="1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2" t="str">
        <f>IF(OR(A453="",B453="",C453="",G453=""),"",SUMIFS(EVENTS!$G$5:$G$204,EVENTS!$A$5:$A$204,A453,EVENTS!$B$5:$B$204,B453,EVENTS!$C$5:$C$204,C453,EVENTS!$H$5:$H$204,G453))</f>
        <v/>
      </c>
      <c r="K453" s="63" t="str">
        <f>IF(J453="","",MAX(0,1-J453/IF(PASSDOWN!$U$2="",720,PASSDOWN!$U$2)))</f>
        <v/>
      </c>
      <c r="L453" s="63" t="str">
        <f>IFERROR(INDEX(PASSDOWN!$G$11:$G$15,MATCH(C453,PASSDOWN!$A$11:$A$15,0)),"")</f>
        <v/>
      </c>
      <c r="M453" s="64" t="str">
        <f t="shared" si="14"/>
        <v/>
      </c>
      <c r="N453" s="62" t="str">
        <f t="shared" si="15"/>
        <v/>
      </c>
    </row>
    <row r="454" spans="1:14" ht="15" customHeight="1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2" t="str">
        <f>IF(OR(A454="",B454="",C454="",G454=""),"",SUMIFS(EVENTS!$G$5:$G$204,EVENTS!$A$5:$A$204,A454,EVENTS!$B$5:$B$204,B454,EVENTS!$C$5:$C$204,C454,EVENTS!$H$5:$H$204,G454))</f>
        <v/>
      </c>
      <c r="K454" s="63" t="str">
        <f>IF(J454="","",MAX(0,1-J454/IF(PASSDOWN!$U$2="",720,PASSDOWN!$U$2)))</f>
        <v/>
      </c>
      <c r="L454" s="63" t="str">
        <f>IFERROR(INDEX(PASSDOWN!$G$11:$G$15,MATCH(C454,PASSDOWN!$A$11:$A$15,0)),"")</f>
        <v/>
      </c>
      <c r="M454" s="64" t="str">
        <f t="shared" si="14"/>
        <v/>
      </c>
      <c r="N454" s="62" t="str">
        <f t="shared" si="15"/>
        <v/>
      </c>
    </row>
    <row r="455" spans="1:14" ht="15" customHeight="1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2" t="str">
        <f>IF(OR(A455="",B455="",C455="",G455=""),"",SUMIFS(EVENTS!$G$5:$G$204,EVENTS!$A$5:$A$204,A455,EVENTS!$B$5:$B$204,B455,EVENTS!$C$5:$C$204,C455,EVENTS!$H$5:$H$204,G455))</f>
        <v/>
      </c>
      <c r="K455" s="63" t="str">
        <f>IF(J455="","",MAX(0,1-J455/IF(PASSDOWN!$U$2="",720,PASSDOWN!$U$2)))</f>
        <v/>
      </c>
      <c r="L455" s="63" t="str">
        <f>IFERROR(INDEX(PASSDOWN!$G$11:$G$15,MATCH(C455,PASSDOWN!$A$11:$A$15,0)),"")</f>
        <v/>
      </c>
      <c r="M455" s="64" t="str">
        <f t="shared" si="14"/>
        <v/>
      </c>
      <c r="N455" s="62" t="str">
        <f t="shared" si="15"/>
        <v/>
      </c>
    </row>
    <row r="456" spans="1:14" ht="15" customHeight="1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2" t="str">
        <f>IF(OR(A456="",B456="",C456="",G456=""),"",SUMIFS(EVENTS!$G$5:$G$204,EVENTS!$A$5:$A$204,A456,EVENTS!$B$5:$B$204,B456,EVENTS!$C$5:$C$204,C456,EVENTS!$H$5:$H$204,G456))</f>
        <v/>
      </c>
      <c r="K456" s="63" t="str">
        <f>IF(J456="","",MAX(0,1-J456/IF(PASSDOWN!$U$2="",720,PASSDOWN!$U$2)))</f>
        <v/>
      </c>
      <c r="L456" s="63" t="str">
        <f>IFERROR(INDEX(PASSDOWN!$G$11:$G$15,MATCH(C456,PASSDOWN!$A$11:$A$15,0)),"")</f>
        <v/>
      </c>
      <c r="M456" s="64" t="str">
        <f t="shared" si="14"/>
        <v/>
      </c>
      <c r="N456" s="62" t="str">
        <f t="shared" si="15"/>
        <v/>
      </c>
    </row>
    <row r="457" spans="1:14" ht="15" customHeight="1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2" t="str">
        <f>IF(OR(A457="",B457="",C457="",G457=""),"",SUMIFS(EVENTS!$G$5:$G$204,EVENTS!$A$5:$A$204,A457,EVENTS!$B$5:$B$204,B457,EVENTS!$C$5:$C$204,C457,EVENTS!$H$5:$H$204,G457))</f>
        <v/>
      </c>
      <c r="K457" s="63" t="str">
        <f>IF(J457="","",MAX(0,1-J457/IF(PASSDOWN!$U$2="",720,PASSDOWN!$U$2)))</f>
        <v/>
      </c>
      <c r="L457" s="63" t="str">
        <f>IFERROR(INDEX(PASSDOWN!$G$11:$G$15,MATCH(C457,PASSDOWN!$A$11:$A$15,0)),"")</f>
        <v/>
      </c>
      <c r="M457" s="64" t="str">
        <f t="shared" si="14"/>
        <v/>
      </c>
      <c r="N457" s="62" t="str">
        <f t="shared" si="15"/>
        <v/>
      </c>
    </row>
    <row r="458" spans="1:14" ht="15" customHeight="1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2" t="str">
        <f>IF(OR(A458="",B458="",C458="",G458=""),"",SUMIFS(EVENTS!$G$5:$G$204,EVENTS!$A$5:$A$204,A458,EVENTS!$B$5:$B$204,B458,EVENTS!$C$5:$C$204,C458,EVENTS!$H$5:$H$204,G458))</f>
        <v/>
      </c>
      <c r="K458" s="63" t="str">
        <f>IF(J458="","",MAX(0,1-J458/IF(PASSDOWN!$U$2="",720,PASSDOWN!$U$2)))</f>
        <v/>
      </c>
      <c r="L458" s="63" t="str">
        <f>IFERROR(INDEX(PASSDOWN!$G$11:$G$15,MATCH(C458,PASSDOWN!$A$11:$A$15,0)),"")</f>
        <v/>
      </c>
      <c r="M458" s="64" t="str">
        <f t="shared" si="14"/>
        <v/>
      </c>
      <c r="N458" s="62" t="str">
        <f t="shared" si="15"/>
        <v/>
      </c>
    </row>
    <row r="459" spans="1:14" ht="15" customHeight="1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2" t="str">
        <f>IF(OR(A459="",B459="",C459="",G459=""),"",SUMIFS(EVENTS!$G$5:$G$204,EVENTS!$A$5:$A$204,A459,EVENTS!$B$5:$B$204,B459,EVENTS!$C$5:$C$204,C459,EVENTS!$H$5:$H$204,G459))</f>
        <v/>
      </c>
      <c r="K459" s="63" t="str">
        <f>IF(J459="","",MAX(0,1-J459/IF(PASSDOWN!$U$2="",720,PASSDOWN!$U$2)))</f>
        <v/>
      </c>
      <c r="L459" s="63" t="str">
        <f>IFERROR(INDEX(PASSDOWN!$G$11:$G$15,MATCH(C459,PASSDOWN!$A$11:$A$15,0)),"")</f>
        <v/>
      </c>
      <c r="M459" s="64" t="str">
        <f t="shared" si="14"/>
        <v/>
      </c>
      <c r="N459" s="62" t="str">
        <f t="shared" si="15"/>
        <v/>
      </c>
    </row>
    <row r="460" spans="1:14" ht="15" customHeight="1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2" t="str">
        <f>IF(OR(A460="",B460="",C460="",G460=""),"",SUMIFS(EVENTS!$G$5:$G$204,EVENTS!$A$5:$A$204,A460,EVENTS!$B$5:$B$204,B460,EVENTS!$C$5:$C$204,C460,EVENTS!$H$5:$H$204,G460))</f>
        <v/>
      </c>
      <c r="K460" s="63" t="str">
        <f>IF(J460="","",MAX(0,1-J460/IF(PASSDOWN!$U$2="",720,PASSDOWN!$U$2)))</f>
        <v/>
      </c>
      <c r="L460" s="63" t="str">
        <f>IFERROR(INDEX(PASSDOWN!$G$11:$G$15,MATCH(C460,PASSDOWN!$A$11:$A$15,0)),"")</f>
        <v/>
      </c>
      <c r="M460" s="64" t="str">
        <f t="shared" si="14"/>
        <v/>
      </c>
      <c r="N460" s="62" t="str">
        <f t="shared" si="15"/>
        <v/>
      </c>
    </row>
    <row r="461" spans="1:14" ht="15" customHeight="1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2" t="str">
        <f>IF(OR(A461="",B461="",C461="",G461=""),"",SUMIFS(EVENTS!$G$5:$G$204,EVENTS!$A$5:$A$204,A461,EVENTS!$B$5:$B$204,B461,EVENTS!$C$5:$C$204,C461,EVENTS!$H$5:$H$204,G461))</f>
        <v/>
      </c>
      <c r="K461" s="63" t="str">
        <f>IF(J461="","",MAX(0,1-J461/IF(PASSDOWN!$U$2="",720,PASSDOWN!$U$2)))</f>
        <v/>
      </c>
      <c r="L461" s="63" t="str">
        <f>IFERROR(INDEX(PASSDOWN!$G$11:$G$15,MATCH(C461,PASSDOWN!$A$11:$A$15,0)),"")</f>
        <v/>
      </c>
      <c r="M461" s="64" t="str">
        <f t="shared" si="14"/>
        <v/>
      </c>
      <c r="N461" s="62" t="str">
        <f t="shared" si="15"/>
        <v/>
      </c>
    </row>
    <row r="462" spans="1:14" ht="15" customHeight="1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2" t="str">
        <f>IF(OR(A462="",B462="",C462="",G462=""),"",SUMIFS(EVENTS!$G$5:$G$204,EVENTS!$A$5:$A$204,A462,EVENTS!$B$5:$B$204,B462,EVENTS!$C$5:$C$204,C462,EVENTS!$H$5:$H$204,G462))</f>
        <v/>
      </c>
      <c r="K462" s="63" t="str">
        <f>IF(J462="","",MAX(0,1-J462/IF(PASSDOWN!$U$2="",720,PASSDOWN!$U$2)))</f>
        <v/>
      </c>
      <c r="L462" s="63" t="str">
        <f>IFERROR(INDEX(PASSDOWN!$G$11:$G$15,MATCH(C462,PASSDOWN!$A$11:$A$15,0)),"")</f>
        <v/>
      </c>
      <c r="M462" s="64" t="str">
        <f t="shared" si="14"/>
        <v/>
      </c>
      <c r="N462" s="62" t="str">
        <f t="shared" si="15"/>
        <v/>
      </c>
    </row>
    <row r="463" spans="1:14" ht="15" customHeight="1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2" t="str">
        <f>IF(OR(A463="",B463="",C463="",G463=""),"",SUMIFS(EVENTS!$G$5:$G$204,EVENTS!$A$5:$A$204,A463,EVENTS!$B$5:$B$204,B463,EVENTS!$C$5:$C$204,C463,EVENTS!$H$5:$H$204,G463))</f>
        <v/>
      </c>
      <c r="K463" s="63" t="str">
        <f>IF(J463="","",MAX(0,1-J463/IF(PASSDOWN!$U$2="",720,PASSDOWN!$U$2)))</f>
        <v/>
      </c>
      <c r="L463" s="63" t="str">
        <f>IFERROR(INDEX(PASSDOWN!$G$11:$G$15,MATCH(C463,PASSDOWN!$A$11:$A$15,0)),"")</f>
        <v/>
      </c>
      <c r="M463" s="64" t="str">
        <f t="shared" si="14"/>
        <v/>
      </c>
      <c r="N463" s="62" t="str">
        <f t="shared" si="15"/>
        <v/>
      </c>
    </row>
    <row r="464" spans="1:14" ht="15" customHeight="1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2" t="str">
        <f>IF(OR(A464="",B464="",C464="",G464=""),"",SUMIFS(EVENTS!$G$5:$G$204,EVENTS!$A$5:$A$204,A464,EVENTS!$B$5:$B$204,B464,EVENTS!$C$5:$C$204,C464,EVENTS!$H$5:$H$204,G464))</f>
        <v/>
      </c>
      <c r="K464" s="63" t="str">
        <f>IF(J464="","",MAX(0,1-J464/IF(PASSDOWN!$U$2="",720,PASSDOWN!$U$2)))</f>
        <v/>
      </c>
      <c r="L464" s="63" t="str">
        <f>IFERROR(INDEX(PASSDOWN!$G$11:$G$15,MATCH(C464,PASSDOWN!$A$11:$A$15,0)),"")</f>
        <v/>
      </c>
      <c r="M464" s="64" t="str">
        <f t="shared" si="14"/>
        <v/>
      </c>
      <c r="N464" s="62" t="str">
        <f t="shared" si="15"/>
        <v/>
      </c>
    </row>
    <row r="465" spans="1:14" ht="15" customHeight="1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2" t="str">
        <f>IF(OR(A465="",B465="",C465="",G465=""),"",SUMIFS(EVENTS!$G$5:$G$204,EVENTS!$A$5:$A$204,A465,EVENTS!$B$5:$B$204,B465,EVENTS!$C$5:$C$204,C465,EVENTS!$H$5:$H$204,G465))</f>
        <v/>
      </c>
      <c r="K465" s="63" t="str">
        <f>IF(J465="","",MAX(0,1-J465/IF(PASSDOWN!$U$2="",720,PASSDOWN!$U$2)))</f>
        <v/>
      </c>
      <c r="L465" s="63" t="str">
        <f>IFERROR(INDEX(PASSDOWN!$G$11:$G$15,MATCH(C465,PASSDOWN!$A$11:$A$15,0)),"")</f>
        <v/>
      </c>
      <c r="M465" s="64" t="str">
        <f t="shared" si="14"/>
        <v/>
      </c>
      <c r="N465" s="62" t="str">
        <f t="shared" si="15"/>
        <v/>
      </c>
    </row>
    <row r="466" spans="1:14" ht="15" customHeight="1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2" t="str">
        <f>IF(OR(A466="",B466="",C466="",G466=""),"",SUMIFS(EVENTS!$G$5:$G$204,EVENTS!$A$5:$A$204,A466,EVENTS!$B$5:$B$204,B466,EVENTS!$C$5:$C$204,C466,EVENTS!$H$5:$H$204,G466))</f>
        <v/>
      </c>
      <c r="K466" s="63" t="str">
        <f>IF(J466="","",MAX(0,1-J466/IF(PASSDOWN!$U$2="",720,PASSDOWN!$U$2)))</f>
        <v/>
      </c>
      <c r="L466" s="63" t="str">
        <f>IFERROR(INDEX(PASSDOWN!$G$11:$G$15,MATCH(C466,PASSDOWN!$A$11:$A$15,0)),"")</f>
        <v/>
      </c>
      <c r="M466" s="64" t="str">
        <f t="shared" si="14"/>
        <v/>
      </c>
      <c r="N466" s="62" t="str">
        <f t="shared" si="15"/>
        <v/>
      </c>
    </row>
    <row r="467" spans="1:14" ht="15" customHeight="1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2" t="str">
        <f>IF(OR(A467="",B467="",C467="",G467=""),"",SUMIFS(EVENTS!$G$5:$G$204,EVENTS!$A$5:$A$204,A467,EVENTS!$B$5:$B$204,B467,EVENTS!$C$5:$C$204,C467,EVENTS!$H$5:$H$204,G467))</f>
        <v/>
      </c>
      <c r="K467" s="63" t="str">
        <f>IF(J467="","",MAX(0,1-J467/IF(PASSDOWN!$U$2="",720,PASSDOWN!$U$2)))</f>
        <v/>
      </c>
      <c r="L467" s="63" t="str">
        <f>IFERROR(INDEX(PASSDOWN!$G$11:$G$15,MATCH(C467,PASSDOWN!$A$11:$A$15,0)),"")</f>
        <v/>
      </c>
      <c r="M467" s="64" t="str">
        <f t="shared" si="14"/>
        <v/>
      </c>
      <c r="N467" s="62" t="str">
        <f t="shared" si="15"/>
        <v/>
      </c>
    </row>
    <row r="468" spans="1:14" ht="15" customHeight="1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2" t="str">
        <f>IF(OR(A468="",B468="",C468="",G468=""),"",SUMIFS(EVENTS!$G$5:$G$204,EVENTS!$A$5:$A$204,A468,EVENTS!$B$5:$B$204,B468,EVENTS!$C$5:$C$204,C468,EVENTS!$H$5:$H$204,G468))</f>
        <v/>
      </c>
      <c r="K468" s="63" t="str">
        <f>IF(J468="","",MAX(0,1-J468/IF(PASSDOWN!$U$2="",720,PASSDOWN!$U$2)))</f>
        <v/>
      </c>
      <c r="L468" s="63" t="str">
        <f>IFERROR(INDEX(PASSDOWN!$G$11:$G$15,MATCH(C468,PASSDOWN!$A$11:$A$15,0)),"")</f>
        <v/>
      </c>
      <c r="M468" s="64" t="str">
        <f t="shared" si="14"/>
        <v/>
      </c>
      <c r="N468" s="62" t="str">
        <f t="shared" si="15"/>
        <v/>
      </c>
    </row>
    <row r="469" spans="1:14" ht="15" customHeight="1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2" t="str">
        <f>IF(OR(A469="",B469="",C469="",G469=""),"",SUMIFS(EVENTS!$G$5:$G$204,EVENTS!$A$5:$A$204,A469,EVENTS!$B$5:$B$204,B469,EVENTS!$C$5:$C$204,C469,EVENTS!$H$5:$H$204,G469))</f>
        <v/>
      </c>
      <c r="K469" s="63" t="str">
        <f>IF(J469="","",MAX(0,1-J469/IF(PASSDOWN!$U$2="",720,PASSDOWN!$U$2)))</f>
        <v/>
      </c>
      <c r="L469" s="63" t="str">
        <f>IFERROR(INDEX(PASSDOWN!$G$11:$G$15,MATCH(C469,PASSDOWN!$A$11:$A$15,0)),"")</f>
        <v/>
      </c>
      <c r="M469" s="64" t="str">
        <f t="shared" si="14"/>
        <v/>
      </c>
      <c r="N469" s="62" t="str">
        <f t="shared" si="15"/>
        <v/>
      </c>
    </row>
    <row r="470" spans="1:14" ht="15" customHeight="1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2" t="str">
        <f>IF(OR(A470="",B470="",C470="",G470=""),"",SUMIFS(EVENTS!$G$5:$G$204,EVENTS!$A$5:$A$204,A470,EVENTS!$B$5:$B$204,B470,EVENTS!$C$5:$C$204,C470,EVENTS!$H$5:$H$204,G470))</f>
        <v/>
      </c>
      <c r="K470" s="63" t="str">
        <f>IF(J470="","",MAX(0,1-J470/IF(PASSDOWN!$U$2="",720,PASSDOWN!$U$2)))</f>
        <v/>
      </c>
      <c r="L470" s="63" t="str">
        <f>IFERROR(INDEX(PASSDOWN!$G$11:$G$15,MATCH(C470,PASSDOWN!$A$11:$A$15,0)),"")</f>
        <v/>
      </c>
      <c r="M470" s="64" t="str">
        <f t="shared" si="14"/>
        <v/>
      </c>
      <c r="N470" s="62" t="str">
        <f t="shared" si="15"/>
        <v/>
      </c>
    </row>
    <row r="471" spans="1:14" ht="15" customHeight="1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2" t="str">
        <f>IF(OR(A471="",B471="",C471="",G471=""),"",SUMIFS(EVENTS!$G$5:$G$204,EVENTS!$A$5:$A$204,A471,EVENTS!$B$5:$B$204,B471,EVENTS!$C$5:$C$204,C471,EVENTS!$H$5:$H$204,G471))</f>
        <v/>
      </c>
      <c r="K471" s="63" t="str">
        <f>IF(J471="","",MAX(0,1-J471/IF(PASSDOWN!$U$2="",720,PASSDOWN!$U$2)))</f>
        <v/>
      </c>
      <c r="L471" s="63" t="str">
        <f>IFERROR(INDEX(PASSDOWN!$G$11:$G$15,MATCH(C471,PASSDOWN!$A$11:$A$15,0)),"")</f>
        <v/>
      </c>
      <c r="M471" s="64" t="str">
        <f t="shared" si="14"/>
        <v/>
      </c>
      <c r="N471" s="62" t="str">
        <f t="shared" si="15"/>
        <v/>
      </c>
    </row>
    <row r="472" spans="1:14" ht="15" customHeight="1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2" t="str">
        <f>IF(OR(A472="",B472="",C472="",G472=""),"",SUMIFS(EVENTS!$G$5:$G$204,EVENTS!$A$5:$A$204,A472,EVENTS!$B$5:$B$204,B472,EVENTS!$C$5:$C$204,C472,EVENTS!$H$5:$H$204,G472))</f>
        <v/>
      </c>
      <c r="K472" s="63" t="str">
        <f>IF(J472="","",MAX(0,1-J472/IF(PASSDOWN!$U$2="",720,PASSDOWN!$U$2)))</f>
        <v/>
      </c>
      <c r="L472" s="63" t="str">
        <f>IFERROR(INDEX(PASSDOWN!$G$11:$G$15,MATCH(C472,PASSDOWN!$A$11:$A$15,0)),"")</f>
        <v/>
      </c>
      <c r="M472" s="64" t="str">
        <f t="shared" si="14"/>
        <v/>
      </c>
      <c r="N472" s="62" t="str">
        <f t="shared" si="15"/>
        <v/>
      </c>
    </row>
    <row r="473" spans="1:14" ht="15" customHeight="1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2" t="str">
        <f>IF(OR(A473="",B473="",C473="",G473=""),"",SUMIFS(EVENTS!$G$5:$G$204,EVENTS!$A$5:$A$204,A473,EVENTS!$B$5:$B$204,B473,EVENTS!$C$5:$C$204,C473,EVENTS!$H$5:$H$204,G473))</f>
        <v/>
      </c>
      <c r="K473" s="63" t="str">
        <f>IF(J473="","",MAX(0,1-J473/IF(PASSDOWN!$U$2="",720,PASSDOWN!$U$2)))</f>
        <v/>
      </c>
      <c r="L473" s="63" t="str">
        <f>IFERROR(INDEX(PASSDOWN!$G$11:$G$15,MATCH(C473,PASSDOWN!$A$11:$A$15,0)),"")</f>
        <v/>
      </c>
      <c r="M473" s="64" t="str">
        <f t="shared" si="14"/>
        <v/>
      </c>
      <c r="N473" s="62" t="str">
        <f t="shared" si="15"/>
        <v/>
      </c>
    </row>
    <row r="474" spans="1:14" ht="15" customHeight="1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2" t="str">
        <f>IF(OR(A474="",B474="",C474="",G474=""),"",SUMIFS(EVENTS!$G$5:$G$204,EVENTS!$A$5:$A$204,A474,EVENTS!$B$5:$B$204,B474,EVENTS!$C$5:$C$204,C474,EVENTS!$H$5:$H$204,G474))</f>
        <v/>
      </c>
      <c r="K474" s="63" t="str">
        <f>IF(J474="","",MAX(0,1-J474/IF(PASSDOWN!$U$2="",720,PASSDOWN!$U$2)))</f>
        <v/>
      </c>
      <c r="L474" s="63" t="str">
        <f>IFERROR(INDEX(PASSDOWN!$G$11:$G$15,MATCH(C474,PASSDOWN!$A$11:$A$15,0)),"")</f>
        <v/>
      </c>
      <c r="M474" s="64" t="str">
        <f t="shared" si="14"/>
        <v/>
      </c>
      <c r="N474" s="62" t="str">
        <f t="shared" si="15"/>
        <v/>
      </c>
    </row>
    <row r="475" spans="1:14" ht="15" customHeight="1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2" t="str">
        <f>IF(OR(A475="",B475="",C475="",G475=""),"",SUMIFS(EVENTS!$G$5:$G$204,EVENTS!$A$5:$A$204,A475,EVENTS!$B$5:$B$204,B475,EVENTS!$C$5:$C$204,C475,EVENTS!$H$5:$H$204,G475))</f>
        <v/>
      </c>
      <c r="K475" s="63" t="str">
        <f>IF(J475="","",MAX(0,1-J475/IF(PASSDOWN!$U$2="",720,PASSDOWN!$U$2)))</f>
        <v/>
      </c>
      <c r="L475" s="63" t="str">
        <f>IFERROR(INDEX(PASSDOWN!$G$11:$G$15,MATCH(C475,PASSDOWN!$A$11:$A$15,0)),"")</f>
        <v/>
      </c>
      <c r="M475" s="64" t="str">
        <f t="shared" si="14"/>
        <v/>
      </c>
      <c r="N475" s="62" t="str">
        <f t="shared" si="15"/>
        <v/>
      </c>
    </row>
    <row r="476" spans="1:14" ht="15" customHeight="1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2" t="str">
        <f>IF(OR(A476="",B476="",C476="",G476=""),"",SUMIFS(EVENTS!$G$5:$G$204,EVENTS!$A$5:$A$204,A476,EVENTS!$B$5:$B$204,B476,EVENTS!$C$5:$C$204,C476,EVENTS!$H$5:$H$204,G476))</f>
        <v/>
      </c>
      <c r="K476" s="63" t="str">
        <f>IF(J476="","",MAX(0,1-J476/IF(PASSDOWN!$U$2="",720,PASSDOWN!$U$2)))</f>
        <v/>
      </c>
      <c r="L476" s="63" t="str">
        <f>IFERROR(INDEX(PASSDOWN!$G$11:$G$15,MATCH(C476,PASSDOWN!$A$11:$A$15,0)),"")</f>
        <v/>
      </c>
      <c r="M476" s="64" t="str">
        <f t="shared" si="14"/>
        <v/>
      </c>
      <c r="N476" s="62" t="str">
        <f t="shared" si="15"/>
        <v/>
      </c>
    </row>
    <row r="477" spans="1:14" ht="15" customHeight="1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2" t="str">
        <f>IF(OR(A477="",B477="",C477="",G477=""),"",SUMIFS(EVENTS!$G$5:$G$204,EVENTS!$A$5:$A$204,A477,EVENTS!$B$5:$B$204,B477,EVENTS!$C$5:$C$204,C477,EVENTS!$H$5:$H$204,G477))</f>
        <v/>
      </c>
      <c r="K477" s="63" t="str">
        <f>IF(J477="","",MAX(0,1-J477/IF(PASSDOWN!$U$2="",720,PASSDOWN!$U$2)))</f>
        <v/>
      </c>
      <c r="L477" s="63" t="str">
        <f>IFERROR(INDEX(PASSDOWN!$G$11:$G$15,MATCH(C477,PASSDOWN!$A$11:$A$15,0)),"")</f>
        <v/>
      </c>
      <c r="M477" s="64" t="str">
        <f t="shared" si="14"/>
        <v/>
      </c>
      <c r="N477" s="62" t="str">
        <f t="shared" si="15"/>
        <v/>
      </c>
    </row>
    <row r="478" spans="1:14" ht="15" customHeight="1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2" t="str">
        <f>IF(OR(A478="",B478="",C478="",G478=""),"",SUMIFS(EVENTS!$G$5:$G$204,EVENTS!$A$5:$A$204,A478,EVENTS!$B$5:$B$204,B478,EVENTS!$C$5:$C$204,C478,EVENTS!$H$5:$H$204,G478))</f>
        <v/>
      </c>
      <c r="K478" s="63" t="str">
        <f>IF(J478="","",MAX(0,1-J478/IF(PASSDOWN!$U$2="",720,PASSDOWN!$U$2)))</f>
        <v/>
      </c>
      <c r="L478" s="63" t="str">
        <f>IFERROR(INDEX(PASSDOWN!$G$11:$G$15,MATCH(C478,PASSDOWN!$A$11:$A$15,0)),"")</f>
        <v/>
      </c>
      <c r="M478" s="64" t="str">
        <f t="shared" si="14"/>
        <v/>
      </c>
      <c r="N478" s="62" t="str">
        <f t="shared" si="15"/>
        <v/>
      </c>
    </row>
    <row r="479" spans="1:14" ht="15" customHeight="1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2" t="str">
        <f>IF(OR(A479="",B479="",C479="",G479=""),"",SUMIFS(EVENTS!$G$5:$G$204,EVENTS!$A$5:$A$204,A479,EVENTS!$B$5:$B$204,B479,EVENTS!$C$5:$C$204,C479,EVENTS!$H$5:$H$204,G479))</f>
        <v/>
      </c>
      <c r="K479" s="63" t="str">
        <f>IF(J479="","",MAX(0,1-J479/IF(PASSDOWN!$U$2="",720,PASSDOWN!$U$2)))</f>
        <v/>
      </c>
      <c r="L479" s="63" t="str">
        <f>IFERROR(INDEX(PASSDOWN!$G$11:$G$15,MATCH(C479,PASSDOWN!$A$11:$A$15,0)),"")</f>
        <v/>
      </c>
      <c r="M479" s="64" t="str">
        <f t="shared" si="14"/>
        <v/>
      </c>
      <c r="N479" s="62" t="str">
        <f t="shared" si="15"/>
        <v/>
      </c>
    </row>
    <row r="480" spans="1:14" ht="15" customHeight="1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2" t="str">
        <f>IF(OR(A480="",B480="",C480="",G480=""),"",SUMIFS(EVENTS!$G$5:$G$204,EVENTS!$A$5:$A$204,A480,EVENTS!$B$5:$B$204,B480,EVENTS!$C$5:$C$204,C480,EVENTS!$H$5:$H$204,G480))</f>
        <v/>
      </c>
      <c r="K480" s="63" t="str">
        <f>IF(J480="","",MAX(0,1-J480/IF(PASSDOWN!$U$2="",720,PASSDOWN!$U$2)))</f>
        <v/>
      </c>
      <c r="L480" s="63" t="str">
        <f>IFERROR(INDEX(PASSDOWN!$G$11:$G$15,MATCH(C480,PASSDOWN!$A$11:$A$15,0)),"")</f>
        <v/>
      </c>
      <c r="M480" s="64" t="str">
        <f t="shared" si="14"/>
        <v/>
      </c>
      <c r="N480" s="62" t="str">
        <f t="shared" si="15"/>
        <v/>
      </c>
    </row>
    <row r="481" spans="1:14" ht="15" customHeight="1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2" t="str">
        <f>IF(OR(A481="",B481="",C481="",G481=""),"",SUMIFS(EVENTS!$G$5:$G$204,EVENTS!$A$5:$A$204,A481,EVENTS!$B$5:$B$204,B481,EVENTS!$C$5:$C$204,C481,EVENTS!$H$5:$H$204,G481))</f>
        <v/>
      </c>
      <c r="K481" s="63" t="str">
        <f>IF(J481="","",MAX(0,1-J481/IF(PASSDOWN!$U$2="",720,PASSDOWN!$U$2)))</f>
        <v/>
      </c>
      <c r="L481" s="63" t="str">
        <f>IFERROR(INDEX(PASSDOWN!$G$11:$G$15,MATCH(C481,PASSDOWN!$A$11:$A$15,0)),"")</f>
        <v/>
      </c>
      <c r="M481" s="64" t="str">
        <f t="shared" si="14"/>
        <v/>
      </c>
      <c r="N481" s="62" t="str">
        <f t="shared" si="15"/>
        <v/>
      </c>
    </row>
    <row r="482" spans="1:14" ht="15" customHeight="1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2" t="str">
        <f>IF(OR(A482="",B482="",C482="",G482=""),"",SUMIFS(EVENTS!$G$5:$G$204,EVENTS!$A$5:$A$204,A482,EVENTS!$B$5:$B$204,B482,EVENTS!$C$5:$C$204,C482,EVENTS!$H$5:$H$204,G482))</f>
        <v/>
      </c>
      <c r="K482" s="63" t="str">
        <f>IF(J482="","",MAX(0,1-J482/IF(PASSDOWN!$U$2="",720,PASSDOWN!$U$2)))</f>
        <v/>
      </c>
      <c r="L482" s="63" t="str">
        <f>IFERROR(INDEX(PASSDOWN!$G$11:$G$15,MATCH(C482,PASSDOWN!$A$11:$A$15,0)),"")</f>
        <v/>
      </c>
      <c r="M482" s="64" t="str">
        <f t="shared" si="14"/>
        <v/>
      </c>
      <c r="N482" s="62" t="str">
        <f t="shared" si="15"/>
        <v/>
      </c>
    </row>
    <row r="483" spans="1:14" ht="15" customHeight="1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2" t="str">
        <f>IF(OR(A483="",B483="",C483="",G483=""),"",SUMIFS(EVENTS!$G$5:$G$204,EVENTS!$A$5:$A$204,A483,EVENTS!$B$5:$B$204,B483,EVENTS!$C$5:$C$204,C483,EVENTS!$H$5:$H$204,G483))</f>
        <v/>
      </c>
      <c r="K483" s="63" t="str">
        <f>IF(J483="","",MAX(0,1-J483/IF(PASSDOWN!$U$2="",720,PASSDOWN!$U$2)))</f>
        <v/>
      </c>
      <c r="L483" s="63" t="str">
        <f>IFERROR(INDEX(PASSDOWN!$G$11:$G$15,MATCH(C483,PASSDOWN!$A$11:$A$15,0)),"")</f>
        <v/>
      </c>
      <c r="M483" s="64" t="str">
        <f t="shared" si="14"/>
        <v/>
      </c>
      <c r="N483" s="62" t="str">
        <f t="shared" si="15"/>
        <v/>
      </c>
    </row>
    <row r="484" spans="1:14" ht="15" customHeight="1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2" t="str">
        <f>IF(OR(A484="",B484="",C484="",G484=""),"",SUMIFS(EVENTS!$G$5:$G$204,EVENTS!$A$5:$A$204,A484,EVENTS!$B$5:$B$204,B484,EVENTS!$C$5:$C$204,C484,EVENTS!$H$5:$H$204,G484))</f>
        <v/>
      </c>
      <c r="K484" s="63" t="str">
        <f>IF(J484="","",MAX(0,1-J484/IF(PASSDOWN!$U$2="",720,PASSDOWN!$U$2)))</f>
        <v/>
      </c>
      <c r="L484" s="63" t="str">
        <f>IFERROR(INDEX(PASSDOWN!$G$11:$G$15,MATCH(C484,PASSDOWN!$A$11:$A$15,0)),"")</f>
        <v/>
      </c>
      <c r="M484" s="64" t="str">
        <f t="shared" si="14"/>
        <v/>
      </c>
      <c r="N484" s="62" t="str">
        <f t="shared" si="15"/>
        <v/>
      </c>
    </row>
    <row r="485" spans="1:14" ht="15" customHeight="1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2" t="str">
        <f>IF(OR(A485="",B485="",C485="",G485=""),"",SUMIFS(EVENTS!$G$5:$G$204,EVENTS!$A$5:$A$204,A485,EVENTS!$B$5:$B$204,B485,EVENTS!$C$5:$C$204,C485,EVENTS!$H$5:$H$204,G485))</f>
        <v/>
      </c>
      <c r="K485" s="63" t="str">
        <f>IF(J485="","",MAX(0,1-J485/IF(PASSDOWN!$U$2="",720,PASSDOWN!$U$2)))</f>
        <v/>
      </c>
      <c r="L485" s="63" t="str">
        <f>IFERROR(INDEX(PASSDOWN!$G$11:$G$15,MATCH(C485,PASSDOWN!$A$11:$A$15,0)),"")</f>
        <v/>
      </c>
      <c r="M485" s="64" t="str">
        <f t="shared" si="14"/>
        <v/>
      </c>
      <c r="N485" s="62" t="str">
        <f t="shared" si="15"/>
        <v/>
      </c>
    </row>
    <row r="486" spans="1:14" ht="15" customHeight="1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2" t="str">
        <f>IF(OR(A486="",B486="",C486="",G486=""),"",SUMIFS(EVENTS!$G$5:$G$204,EVENTS!$A$5:$A$204,A486,EVENTS!$B$5:$B$204,B486,EVENTS!$C$5:$C$204,C486,EVENTS!$H$5:$H$204,G486))</f>
        <v/>
      </c>
      <c r="K486" s="63" t="str">
        <f>IF(J486="","",MAX(0,1-J486/IF(PASSDOWN!$U$2="",720,PASSDOWN!$U$2)))</f>
        <v/>
      </c>
      <c r="L486" s="63" t="str">
        <f>IFERROR(INDEX(PASSDOWN!$G$11:$G$15,MATCH(C486,PASSDOWN!$A$11:$A$15,0)),"")</f>
        <v/>
      </c>
      <c r="M486" s="64" t="str">
        <f t="shared" si="14"/>
        <v/>
      </c>
      <c r="N486" s="62" t="str">
        <f t="shared" si="15"/>
        <v/>
      </c>
    </row>
    <row r="487" spans="1:14" ht="15" customHeight="1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2" t="str">
        <f>IF(OR(A487="",B487="",C487="",G487=""),"",SUMIFS(EVENTS!$G$5:$G$204,EVENTS!$A$5:$A$204,A487,EVENTS!$B$5:$B$204,B487,EVENTS!$C$5:$C$204,C487,EVENTS!$H$5:$H$204,G487))</f>
        <v/>
      </c>
      <c r="K487" s="63" t="str">
        <f>IF(J487="","",MAX(0,1-J487/IF(PASSDOWN!$U$2="",720,PASSDOWN!$U$2)))</f>
        <v/>
      </c>
      <c r="L487" s="63" t="str">
        <f>IFERROR(INDEX(PASSDOWN!$G$11:$G$15,MATCH(C487,PASSDOWN!$A$11:$A$15,0)),"")</f>
        <v/>
      </c>
      <c r="M487" s="64" t="str">
        <f t="shared" si="14"/>
        <v/>
      </c>
      <c r="N487" s="62" t="str">
        <f t="shared" si="15"/>
        <v/>
      </c>
    </row>
    <row r="488" spans="1:14" ht="15" customHeight="1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2" t="str">
        <f>IF(OR(A488="",B488="",C488="",G488=""),"",SUMIFS(EVENTS!$G$5:$G$204,EVENTS!$A$5:$A$204,A488,EVENTS!$B$5:$B$204,B488,EVENTS!$C$5:$C$204,C488,EVENTS!$H$5:$H$204,G488))</f>
        <v/>
      </c>
      <c r="K488" s="63" t="str">
        <f>IF(J488="","",MAX(0,1-J488/IF(PASSDOWN!$U$2="",720,PASSDOWN!$U$2)))</f>
        <v/>
      </c>
      <c r="L488" s="63" t="str">
        <f>IFERROR(INDEX(PASSDOWN!$G$11:$G$15,MATCH(C488,PASSDOWN!$A$11:$A$15,0)),"")</f>
        <v/>
      </c>
      <c r="M488" s="64" t="str">
        <f t="shared" si="14"/>
        <v/>
      </c>
      <c r="N488" s="62" t="str">
        <f t="shared" si="15"/>
        <v/>
      </c>
    </row>
    <row r="489" spans="1:14" ht="15" customHeight="1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2" t="str">
        <f>IF(OR(A489="",B489="",C489="",G489=""),"",SUMIFS(EVENTS!$G$5:$G$204,EVENTS!$A$5:$A$204,A489,EVENTS!$B$5:$B$204,B489,EVENTS!$C$5:$C$204,C489,EVENTS!$H$5:$H$204,G489))</f>
        <v/>
      </c>
      <c r="K489" s="63" t="str">
        <f>IF(J489="","",MAX(0,1-J489/IF(PASSDOWN!$U$2="",720,PASSDOWN!$U$2)))</f>
        <v/>
      </c>
      <c r="L489" s="63" t="str">
        <f>IFERROR(INDEX(PASSDOWN!$G$11:$G$15,MATCH(C489,PASSDOWN!$A$11:$A$15,0)),"")</f>
        <v/>
      </c>
      <c r="M489" s="64" t="str">
        <f t="shared" si="14"/>
        <v/>
      </c>
      <c r="N489" s="62" t="str">
        <f t="shared" si="15"/>
        <v/>
      </c>
    </row>
    <row r="490" spans="1:14" ht="15" customHeight="1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2" t="str">
        <f>IF(OR(A490="",B490="",C490="",G490=""),"",SUMIFS(EVENTS!$G$5:$G$204,EVENTS!$A$5:$A$204,A490,EVENTS!$B$5:$B$204,B490,EVENTS!$C$5:$C$204,C490,EVENTS!$H$5:$H$204,G490))</f>
        <v/>
      </c>
      <c r="K490" s="63" t="str">
        <f>IF(J490="","",MAX(0,1-J490/IF(PASSDOWN!$U$2="",720,PASSDOWN!$U$2)))</f>
        <v/>
      </c>
      <c r="L490" s="63" t="str">
        <f>IFERROR(INDEX(PASSDOWN!$G$11:$G$15,MATCH(C490,PASSDOWN!$A$11:$A$15,0)),"")</f>
        <v/>
      </c>
      <c r="M490" s="64" t="str">
        <f t="shared" si="14"/>
        <v/>
      </c>
      <c r="N490" s="62" t="str">
        <f t="shared" si="15"/>
        <v/>
      </c>
    </row>
    <row r="491" spans="1:14" ht="15" customHeight="1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2" t="str">
        <f>IF(OR(A491="",B491="",C491="",G491=""),"",SUMIFS(EVENTS!$G$5:$G$204,EVENTS!$A$5:$A$204,A491,EVENTS!$B$5:$B$204,B491,EVENTS!$C$5:$C$204,C491,EVENTS!$H$5:$H$204,G491))</f>
        <v/>
      </c>
      <c r="K491" s="63" t="str">
        <f>IF(J491="","",MAX(0,1-J491/IF(PASSDOWN!$U$2="",720,PASSDOWN!$U$2)))</f>
        <v/>
      </c>
      <c r="L491" s="63" t="str">
        <f>IFERROR(INDEX(PASSDOWN!$G$11:$G$15,MATCH(C491,PASSDOWN!$A$11:$A$15,0)),"")</f>
        <v/>
      </c>
      <c r="M491" s="64" t="str">
        <f t="shared" si="14"/>
        <v/>
      </c>
      <c r="N491" s="62" t="str">
        <f t="shared" si="15"/>
        <v/>
      </c>
    </row>
    <row r="492" spans="1:14" ht="15" customHeight="1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2" t="str">
        <f>IF(OR(A492="",B492="",C492="",G492=""),"",SUMIFS(EVENTS!$G$5:$G$204,EVENTS!$A$5:$A$204,A492,EVENTS!$B$5:$B$204,B492,EVENTS!$C$5:$C$204,C492,EVENTS!$H$5:$H$204,G492))</f>
        <v/>
      </c>
      <c r="K492" s="63" t="str">
        <f>IF(J492="","",MAX(0,1-J492/IF(PASSDOWN!$U$2="",720,PASSDOWN!$U$2)))</f>
        <v/>
      </c>
      <c r="L492" s="63" t="str">
        <f>IFERROR(INDEX(PASSDOWN!$G$11:$G$15,MATCH(C492,PASSDOWN!$A$11:$A$15,0)),"")</f>
        <v/>
      </c>
      <c r="M492" s="64" t="str">
        <f t="shared" si="14"/>
        <v/>
      </c>
      <c r="N492" s="62" t="str">
        <f t="shared" si="15"/>
        <v/>
      </c>
    </row>
    <row r="493" spans="1:14" ht="15" customHeight="1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2" t="str">
        <f>IF(OR(A493="",B493="",C493="",G493=""),"",SUMIFS(EVENTS!$G$5:$G$204,EVENTS!$A$5:$A$204,A493,EVENTS!$B$5:$B$204,B493,EVENTS!$C$5:$C$204,C493,EVENTS!$H$5:$H$204,G493))</f>
        <v/>
      </c>
      <c r="K493" s="63" t="str">
        <f>IF(J493="","",MAX(0,1-J493/IF(PASSDOWN!$U$2="",720,PASSDOWN!$U$2)))</f>
        <v/>
      </c>
      <c r="L493" s="63" t="str">
        <f>IFERROR(INDEX(PASSDOWN!$G$11:$G$15,MATCH(C493,PASSDOWN!$A$11:$A$15,0)),"")</f>
        <v/>
      </c>
      <c r="M493" s="64" t="str">
        <f t="shared" si="14"/>
        <v/>
      </c>
      <c r="N493" s="62" t="str">
        <f t="shared" si="15"/>
        <v/>
      </c>
    </row>
    <row r="494" spans="1:14" ht="15" customHeight="1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2" t="str">
        <f>IF(OR(A494="",B494="",C494="",G494=""),"",SUMIFS(EVENTS!$G$5:$G$204,EVENTS!$A$5:$A$204,A494,EVENTS!$B$5:$B$204,B494,EVENTS!$C$5:$C$204,C494,EVENTS!$H$5:$H$204,G494))</f>
        <v/>
      </c>
      <c r="K494" s="63" t="str">
        <f>IF(J494="","",MAX(0,1-J494/IF(PASSDOWN!$U$2="",720,PASSDOWN!$U$2)))</f>
        <v/>
      </c>
      <c r="L494" s="63" t="str">
        <f>IFERROR(INDEX(PASSDOWN!$G$11:$G$15,MATCH(C494,PASSDOWN!$A$11:$A$15,0)),"")</f>
        <v/>
      </c>
      <c r="M494" s="64" t="str">
        <f t="shared" si="14"/>
        <v/>
      </c>
      <c r="N494" s="62" t="str">
        <f t="shared" si="15"/>
        <v/>
      </c>
    </row>
    <row r="495" spans="1:14" ht="15" customHeight="1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2" t="str">
        <f>IF(OR(A495="",B495="",C495="",G495=""),"",SUMIFS(EVENTS!$G$5:$G$204,EVENTS!$A$5:$A$204,A495,EVENTS!$B$5:$B$204,B495,EVENTS!$C$5:$C$204,C495,EVENTS!$H$5:$H$204,G495))</f>
        <v/>
      </c>
      <c r="K495" s="63" t="str">
        <f>IF(J495="","",MAX(0,1-J495/IF(PASSDOWN!$U$2="",720,PASSDOWN!$U$2)))</f>
        <v/>
      </c>
      <c r="L495" s="63" t="str">
        <f>IFERROR(INDEX(PASSDOWN!$G$11:$G$15,MATCH(C495,PASSDOWN!$A$11:$A$15,0)),"")</f>
        <v/>
      </c>
      <c r="M495" s="64" t="str">
        <f t="shared" si="14"/>
        <v/>
      </c>
      <c r="N495" s="62" t="str">
        <f t="shared" si="15"/>
        <v/>
      </c>
    </row>
    <row r="496" spans="1:14" ht="15" customHeight="1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2" t="str">
        <f>IF(OR(A496="",B496="",C496="",G496=""),"",SUMIFS(EVENTS!$G$5:$G$204,EVENTS!$A$5:$A$204,A496,EVENTS!$B$5:$B$204,B496,EVENTS!$C$5:$C$204,C496,EVENTS!$H$5:$H$204,G496))</f>
        <v/>
      </c>
      <c r="K496" s="63" t="str">
        <f>IF(J496="","",MAX(0,1-J496/IF(PASSDOWN!$U$2="",720,PASSDOWN!$U$2)))</f>
        <v/>
      </c>
      <c r="L496" s="63" t="str">
        <f>IFERROR(INDEX(PASSDOWN!$G$11:$G$15,MATCH(C496,PASSDOWN!$A$11:$A$15,0)),"")</f>
        <v/>
      </c>
      <c r="M496" s="64" t="str">
        <f t="shared" si="14"/>
        <v/>
      </c>
      <c r="N496" s="62" t="str">
        <f t="shared" si="15"/>
        <v/>
      </c>
    </row>
    <row r="497" spans="1:14" ht="15" customHeight="1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2" t="str">
        <f>IF(OR(A497="",B497="",C497="",G497=""),"",SUMIFS(EVENTS!$G$5:$G$204,EVENTS!$A$5:$A$204,A497,EVENTS!$B$5:$B$204,B497,EVENTS!$C$5:$C$204,C497,EVENTS!$H$5:$H$204,G497))</f>
        <v/>
      </c>
      <c r="K497" s="63" t="str">
        <f>IF(J497="","",MAX(0,1-J497/IF(PASSDOWN!$U$2="",720,PASSDOWN!$U$2)))</f>
        <v/>
      </c>
      <c r="L497" s="63" t="str">
        <f>IFERROR(INDEX(PASSDOWN!$G$11:$G$15,MATCH(C497,PASSDOWN!$A$11:$A$15,0)),"")</f>
        <v/>
      </c>
      <c r="M497" s="64" t="str">
        <f t="shared" si="14"/>
        <v/>
      </c>
      <c r="N497" s="62" t="str">
        <f t="shared" si="15"/>
        <v/>
      </c>
    </row>
    <row r="498" spans="1:14" ht="15" customHeight="1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2" t="str">
        <f>IF(OR(A498="",B498="",C498="",G498=""),"",SUMIFS(EVENTS!$G$5:$G$204,EVENTS!$A$5:$A$204,A498,EVENTS!$B$5:$B$204,B498,EVENTS!$C$5:$C$204,C498,EVENTS!$H$5:$H$204,G498))</f>
        <v/>
      </c>
      <c r="K498" s="63" t="str">
        <f>IF(J498="","",MAX(0,1-J498/IF(PASSDOWN!$U$2="",720,PASSDOWN!$U$2)))</f>
        <v/>
      </c>
      <c r="L498" s="63" t="str">
        <f>IFERROR(INDEX(PASSDOWN!$G$11:$G$15,MATCH(C498,PASSDOWN!$A$11:$A$15,0)),"")</f>
        <v/>
      </c>
      <c r="M498" s="64" t="str">
        <f t="shared" si="14"/>
        <v/>
      </c>
      <c r="N498" s="62" t="str">
        <f t="shared" si="15"/>
        <v/>
      </c>
    </row>
    <row r="499" spans="1:14" ht="15" customHeight="1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2" t="str">
        <f>IF(OR(A499="",B499="",C499="",G499=""),"",SUMIFS(EVENTS!$G$5:$G$204,EVENTS!$A$5:$A$204,A499,EVENTS!$B$5:$B$204,B499,EVENTS!$C$5:$C$204,C499,EVENTS!$H$5:$H$204,G499))</f>
        <v/>
      </c>
      <c r="K499" s="63" t="str">
        <f>IF(J499="","",MAX(0,1-J499/IF(PASSDOWN!$U$2="",720,PASSDOWN!$U$2)))</f>
        <v/>
      </c>
      <c r="L499" s="63" t="str">
        <f>IFERROR(INDEX(PASSDOWN!$G$11:$G$15,MATCH(C499,PASSDOWN!$A$11:$A$15,0)),"")</f>
        <v/>
      </c>
      <c r="M499" s="64" t="str">
        <f t="shared" si="14"/>
        <v/>
      </c>
      <c r="N499" s="62" t="str">
        <f t="shared" si="15"/>
        <v/>
      </c>
    </row>
    <row r="500" spans="1:14" ht="15" customHeight="1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2" t="str">
        <f>IF(OR(A500="",B500="",C500="",G500=""),"",SUMIFS(EVENTS!$G$5:$G$204,EVENTS!$A$5:$A$204,A500,EVENTS!$B$5:$B$204,B500,EVENTS!$C$5:$C$204,C500,EVENTS!$H$5:$H$204,G500))</f>
        <v/>
      </c>
      <c r="K500" s="63" t="str">
        <f>IF(J500="","",MAX(0,1-J500/IF(PASSDOWN!$U$2="",720,PASSDOWN!$U$2)))</f>
        <v/>
      </c>
      <c r="L500" s="63" t="str">
        <f>IFERROR(INDEX(PASSDOWN!$G$11:$G$15,MATCH(C500,PASSDOWN!$A$11:$A$15,0)),"")</f>
        <v/>
      </c>
      <c r="M500" s="64" t="str">
        <f t="shared" si="14"/>
        <v/>
      </c>
      <c r="N500" s="62" t="str">
        <f t="shared" si="15"/>
        <v/>
      </c>
    </row>
    <row r="501" spans="1:14" ht="15" customHeight="1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2" t="str">
        <f>IF(OR(A501="",B501="",C501="",G501=""),"",SUMIFS(EVENTS!$G$5:$G$204,EVENTS!$A$5:$A$204,A501,EVENTS!$B$5:$B$204,B501,EVENTS!$C$5:$C$204,C501,EVENTS!$H$5:$H$204,G501))</f>
        <v/>
      </c>
      <c r="K501" s="63" t="str">
        <f>IF(J501="","",MAX(0,1-J501/IF(PASSDOWN!$U$2="",720,PASSDOWN!$U$2)))</f>
        <v/>
      </c>
      <c r="L501" s="63" t="str">
        <f>IFERROR(INDEX(PASSDOWN!$G$11:$G$15,MATCH(C501,PASSDOWN!$A$11:$A$15,0)),"")</f>
        <v/>
      </c>
      <c r="M501" s="64" t="str">
        <f t="shared" si="14"/>
        <v/>
      </c>
      <c r="N501" s="62" t="str">
        <f t="shared" si="15"/>
        <v/>
      </c>
    </row>
    <row r="502" spans="1:14" ht="15" customHeight="1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2" t="str">
        <f>IF(OR(A502="",B502="",C502="",G502=""),"",SUMIFS(EVENTS!$G$5:$G$204,EVENTS!$A$5:$A$204,A502,EVENTS!$B$5:$B$204,B502,EVENTS!$C$5:$C$204,C502,EVENTS!$H$5:$H$204,G502))</f>
        <v/>
      </c>
      <c r="K502" s="63" t="str">
        <f>IF(J502="","",MAX(0,1-J502/IF(PASSDOWN!$U$2="",720,PASSDOWN!$U$2)))</f>
        <v/>
      </c>
      <c r="L502" s="63" t="str">
        <f>IFERROR(INDEX(PASSDOWN!$G$11:$G$15,MATCH(C502,PASSDOWN!$A$11:$A$15,0)),"")</f>
        <v/>
      </c>
      <c r="M502" s="64" t="str">
        <f t="shared" si="14"/>
        <v/>
      </c>
      <c r="N502" s="62" t="str">
        <f t="shared" si="15"/>
        <v/>
      </c>
    </row>
  </sheetData>
  <conditionalFormatting sqref="AE10:AE34">
    <cfRule type="cellIs" dxfId="2" priority="1" operator="lessThan">
      <formula>70</formula>
    </cfRule>
    <cfRule type="cellIs" dxfId="1" priority="2" operator="between">
      <formula>70</formula>
      <formula>84.999</formula>
    </cfRule>
    <cfRule type="cellIs" dxfId="0" priority="3" operator="greaterThanOrEqual">
      <formula>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4"/>
  <sheetViews>
    <sheetView showGridLines="0" zoomScaleNormal="100" workbookViewId="0">
      <pane ySplit="4" topLeftCell="A5" activePane="bottomLeft" state="frozen"/>
      <selection pane="bottomLeft" activeCell="J7" sqref="J7"/>
    </sheetView>
  </sheetViews>
  <sheetFormatPr defaultColWidth="8.7109375" defaultRowHeight="15" x14ac:dyDescent="0.25"/>
  <cols>
    <col min="1" max="1" width="11" customWidth="1"/>
    <col min="2" max="2" width="8" customWidth="1"/>
    <col min="3" max="3" width="6" customWidth="1"/>
    <col min="4" max="4" width="12" customWidth="1"/>
    <col min="5" max="6" width="8" customWidth="1"/>
    <col min="7" max="7" width="9" customWidth="1"/>
    <col min="8" max="8" width="16" customWidth="1"/>
    <col min="9" max="9" width="28" customWidth="1"/>
    <col min="10" max="10" width="22" customWidth="1"/>
    <col min="11" max="11" width="24" customWidth="1"/>
    <col min="12" max="12" width="12" customWidth="1"/>
    <col min="13" max="13" width="18" customWidth="1"/>
    <col min="14" max="14" width="22" customWidth="1"/>
    <col min="15" max="15" width="14" customWidth="1"/>
    <col min="16" max="16" width="11" customWidth="1"/>
    <col min="17" max="18" width="10" customWidth="1"/>
    <col min="19" max="19" width="20" customWidth="1"/>
    <col min="20" max="20" width="10" customWidth="1"/>
  </cols>
  <sheetData>
    <row r="1" spans="1:20" ht="20.25" customHeight="1" x14ac:dyDescent="0.25">
      <c r="A1" s="4" t="s">
        <v>201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0" ht="15" customHeight="1" x14ac:dyDescent="0.25">
      <c r="A2" s="114" t="s">
        <v>202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20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20" ht="30" customHeight="1" x14ac:dyDescent="0.25">
      <c r="A4" s="14" t="s">
        <v>1</v>
      </c>
      <c r="B4" s="14" t="s">
        <v>2</v>
      </c>
      <c r="C4" s="14" t="s">
        <v>19</v>
      </c>
      <c r="D4" s="14" t="s">
        <v>203</v>
      </c>
      <c r="E4" s="14" t="s">
        <v>113</v>
      </c>
      <c r="F4" s="14" t="s">
        <v>114</v>
      </c>
      <c r="G4" s="14" t="s">
        <v>32</v>
      </c>
      <c r="H4" s="14" t="s">
        <v>204</v>
      </c>
      <c r="I4" s="14" t="s">
        <v>34</v>
      </c>
      <c r="J4" s="14" t="s">
        <v>205</v>
      </c>
      <c r="K4" s="14" t="s">
        <v>206</v>
      </c>
      <c r="L4" s="14" t="s">
        <v>35</v>
      </c>
      <c r="M4" s="14" t="s">
        <v>207</v>
      </c>
      <c r="N4" s="14" t="s">
        <v>208</v>
      </c>
      <c r="O4" s="14" t="s">
        <v>209</v>
      </c>
      <c r="P4" s="14" t="s">
        <v>210</v>
      </c>
      <c r="Q4" s="14" t="s">
        <v>211</v>
      </c>
      <c r="R4" s="14" t="s">
        <v>212</v>
      </c>
      <c r="S4" s="14" t="s">
        <v>47</v>
      </c>
      <c r="T4" s="14" t="s">
        <v>213</v>
      </c>
    </row>
    <row r="5" spans="1:20" ht="15" customHeight="1" x14ac:dyDescent="0.25">
      <c r="A5" s="65"/>
      <c r="B5" s="66"/>
      <c r="C5" s="66"/>
      <c r="D5" s="66"/>
      <c r="E5" s="66"/>
      <c r="F5" s="66"/>
      <c r="G5" s="67"/>
      <c r="H5" s="66"/>
      <c r="I5" s="68"/>
      <c r="J5" s="68"/>
      <c r="K5" s="68"/>
      <c r="L5" s="66"/>
      <c r="M5" s="68"/>
      <c r="N5" s="68"/>
      <c r="O5" s="66"/>
      <c r="P5" s="66"/>
      <c r="Q5" s="66"/>
      <c r="R5" s="66"/>
      <c r="S5" s="68"/>
      <c r="T5" s="69" t="str">
        <f t="shared" ref="T5:T36" si="0">IF($G5="","",$G5+ROW()/100000)</f>
        <v/>
      </c>
    </row>
    <row r="6" spans="1:20" ht="15" customHeight="1" x14ac:dyDescent="0.25">
      <c r="A6" s="65"/>
      <c r="B6" s="66"/>
      <c r="C6" s="66"/>
      <c r="D6" s="66"/>
      <c r="E6" s="66"/>
      <c r="F6" s="66"/>
      <c r="G6" s="67"/>
      <c r="H6" s="66"/>
      <c r="I6" s="68"/>
      <c r="J6" s="68"/>
      <c r="K6" s="68"/>
      <c r="L6" s="66"/>
      <c r="M6" s="68"/>
      <c r="N6" s="68"/>
      <c r="O6" s="66"/>
      <c r="P6" s="66"/>
      <c r="Q6" s="66"/>
      <c r="R6" s="66"/>
      <c r="S6" s="68"/>
      <c r="T6" s="69" t="str">
        <f t="shared" si="0"/>
        <v/>
      </c>
    </row>
    <row r="7" spans="1:20" ht="15" customHeight="1" x14ac:dyDescent="0.25">
      <c r="A7" s="65"/>
      <c r="B7" s="66"/>
      <c r="C7" s="66"/>
      <c r="D7" s="66"/>
      <c r="E7" s="66"/>
      <c r="F7" s="66"/>
      <c r="G7" s="67"/>
      <c r="H7" s="66"/>
      <c r="I7" s="68"/>
      <c r="J7" s="68"/>
      <c r="K7" s="68"/>
      <c r="L7" s="66"/>
      <c r="M7" s="68"/>
      <c r="N7" s="68"/>
      <c r="O7" s="66"/>
      <c r="P7" s="66"/>
      <c r="Q7" s="66"/>
      <c r="R7" s="66"/>
      <c r="S7" s="68"/>
      <c r="T7" s="69" t="str">
        <f t="shared" si="0"/>
        <v/>
      </c>
    </row>
    <row r="8" spans="1:20" ht="15" customHeight="1" x14ac:dyDescent="0.25">
      <c r="A8" s="65"/>
      <c r="B8" s="66"/>
      <c r="C8" s="66"/>
      <c r="D8" s="66"/>
      <c r="E8" s="66"/>
      <c r="F8" s="66"/>
      <c r="G8" s="67"/>
      <c r="H8" s="66"/>
      <c r="I8" s="68"/>
      <c r="J8" s="68"/>
      <c r="K8" s="68"/>
      <c r="L8" s="66"/>
      <c r="M8" s="68"/>
      <c r="N8" s="68"/>
      <c r="O8" s="66"/>
      <c r="P8" s="66"/>
      <c r="Q8" s="66"/>
      <c r="R8" s="66"/>
      <c r="S8" s="68"/>
      <c r="T8" s="69" t="str">
        <f t="shared" si="0"/>
        <v/>
      </c>
    </row>
    <row r="9" spans="1:20" ht="15" customHeight="1" x14ac:dyDescent="0.25">
      <c r="A9" s="65"/>
      <c r="B9" s="66"/>
      <c r="C9" s="66"/>
      <c r="D9" s="66"/>
      <c r="E9" s="66"/>
      <c r="F9" s="66"/>
      <c r="G9" s="67"/>
      <c r="H9" s="66"/>
      <c r="I9" s="68"/>
      <c r="J9" s="68"/>
      <c r="K9" s="68"/>
      <c r="L9" s="66"/>
      <c r="M9" s="68"/>
      <c r="N9" s="68"/>
      <c r="O9" s="66"/>
      <c r="P9" s="66"/>
      <c r="Q9" s="66"/>
      <c r="R9" s="66"/>
      <c r="S9" s="68"/>
      <c r="T9" s="69" t="str">
        <f t="shared" si="0"/>
        <v/>
      </c>
    </row>
    <row r="10" spans="1:20" ht="15" customHeight="1" x14ac:dyDescent="0.25">
      <c r="A10" s="65"/>
      <c r="B10" s="66"/>
      <c r="C10" s="66"/>
      <c r="D10" s="66"/>
      <c r="E10" s="66"/>
      <c r="F10" s="66"/>
      <c r="G10" s="67"/>
      <c r="H10" s="66"/>
      <c r="I10" s="68"/>
      <c r="J10" s="68"/>
      <c r="K10" s="68"/>
      <c r="L10" s="66"/>
      <c r="M10" s="68"/>
      <c r="N10" s="68"/>
      <c r="O10" s="66"/>
      <c r="P10" s="66"/>
      <c r="Q10" s="66"/>
      <c r="R10" s="66"/>
      <c r="S10" s="68"/>
      <c r="T10" s="69" t="str">
        <f t="shared" si="0"/>
        <v/>
      </c>
    </row>
    <row r="11" spans="1:20" ht="15" customHeight="1" x14ac:dyDescent="0.25">
      <c r="A11" s="65"/>
      <c r="B11" s="66"/>
      <c r="C11" s="66"/>
      <c r="D11" s="66"/>
      <c r="E11" s="66"/>
      <c r="F11" s="66"/>
      <c r="G11" s="67"/>
      <c r="H11" s="66"/>
      <c r="I11" s="68"/>
      <c r="J11" s="68"/>
      <c r="K11" s="68"/>
      <c r="L11" s="66"/>
      <c r="M11" s="68"/>
      <c r="N11" s="68"/>
      <c r="O11" s="66"/>
      <c r="P11" s="66"/>
      <c r="Q11" s="66"/>
      <c r="R11" s="66"/>
      <c r="S11" s="68"/>
      <c r="T11" s="69" t="str">
        <f t="shared" si="0"/>
        <v/>
      </c>
    </row>
    <row r="12" spans="1:20" ht="15" customHeight="1" x14ac:dyDescent="0.25">
      <c r="A12" s="65"/>
      <c r="B12" s="66"/>
      <c r="C12" s="66"/>
      <c r="D12" s="66"/>
      <c r="E12" s="66"/>
      <c r="F12" s="66"/>
      <c r="G12" s="67"/>
      <c r="H12" s="66"/>
      <c r="I12" s="68"/>
      <c r="J12" s="68"/>
      <c r="K12" s="68"/>
      <c r="L12" s="66"/>
      <c r="M12" s="68"/>
      <c r="N12" s="68"/>
      <c r="O12" s="66"/>
      <c r="P12" s="66"/>
      <c r="Q12" s="66"/>
      <c r="R12" s="66"/>
      <c r="S12" s="68"/>
      <c r="T12" s="69" t="str">
        <f t="shared" si="0"/>
        <v/>
      </c>
    </row>
    <row r="13" spans="1:20" ht="15" customHeight="1" x14ac:dyDescent="0.25">
      <c r="A13" s="65"/>
      <c r="B13" s="66"/>
      <c r="C13" s="66"/>
      <c r="D13" s="66"/>
      <c r="E13" s="66"/>
      <c r="F13" s="66"/>
      <c r="G13" s="67"/>
      <c r="H13" s="66"/>
      <c r="I13" s="68"/>
      <c r="J13" s="68"/>
      <c r="K13" s="68"/>
      <c r="L13" s="66"/>
      <c r="M13" s="68"/>
      <c r="N13" s="68"/>
      <c r="O13" s="66"/>
      <c r="P13" s="66"/>
      <c r="Q13" s="66"/>
      <c r="R13" s="66"/>
      <c r="S13" s="68"/>
      <c r="T13" s="69" t="str">
        <f t="shared" si="0"/>
        <v/>
      </c>
    </row>
    <row r="14" spans="1:20" ht="15" customHeight="1" x14ac:dyDescent="0.25">
      <c r="A14" s="65"/>
      <c r="B14" s="66"/>
      <c r="C14" s="66"/>
      <c r="D14" s="66"/>
      <c r="E14" s="66"/>
      <c r="F14" s="66"/>
      <c r="G14" s="67"/>
      <c r="H14" s="66"/>
      <c r="I14" s="68"/>
      <c r="J14" s="68"/>
      <c r="K14" s="68"/>
      <c r="L14" s="66"/>
      <c r="M14" s="68"/>
      <c r="N14" s="68"/>
      <c r="O14" s="66"/>
      <c r="P14" s="66"/>
      <c r="Q14" s="66"/>
      <c r="R14" s="66"/>
      <c r="S14" s="68"/>
      <c r="T14" s="69" t="str">
        <f t="shared" si="0"/>
        <v/>
      </c>
    </row>
    <row r="15" spans="1:20" ht="15" customHeight="1" x14ac:dyDescent="0.25">
      <c r="A15" s="65"/>
      <c r="B15" s="66"/>
      <c r="C15" s="66"/>
      <c r="D15" s="66"/>
      <c r="E15" s="66"/>
      <c r="F15" s="66"/>
      <c r="G15" s="67"/>
      <c r="H15" s="66"/>
      <c r="I15" s="68"/>
      <c r="J15" s="68"/>
      <c r="K15" s="68"/>
      <c r="L15" s="66"/>
      <c r="M15" s="68"/>
      <c r="N15" s="68"/>
      <c r="O15" s="66"/>
      <c r="P15" s="66"/>
      <c r="Q15" s="66"/>
      <c r="R15" s="66"/>
      <c r="S15" s="68"/>
      <c r="T15" s="69" t="str">
        <f t="shared" si="0"/>
        <v/>
      </c>
    </row>
    <row r="16" spans="1:20" ht="15" customHeight="1" x14ac:dyDescent="0.25">
      <c r="A16" s="65"/>
      <c r="B16" s="66"/>
      <c r="C16" s="66"/>
      <c r="D16" s="66"/>
      <c r="E16" s="66"/>
      <c r="F16" s="66"/>
      <c r="G16" s="67"/>
      <c r="H16" s="66"/>
      <c r="I16" s="68"/>
      <c r="J16" s="68"/>
      <c r="K16" s="68"/>
      <c r="L16" s="66"/>
      <c r="M16" s="68"/>
      <c r="N16" s="68"/>
      <c r="O16" s="66"/>
      <c r="P16" s="66"/>
      <c r="Q16" s="66"/>
      <c r="R16" s="66"/>
      <c r="S16" s="68"/>
      <c r="T16" s="69" t="str">
        <f t="shared" si="0"/>
        <v/>
      </c>
    </row>
    <row r="17" spans="1:20" ht="15" customHeight="1" x14ac:dyDescent="0.25">
      <c r="A17" s="65"/>
      <c r="B17" s="66"/>
      <c r="C17" s="66"/>
      <c r="D17" s="66"/>
      <c r="E17" s="66"/>
      <c r="F17" s="66"/>
      <c r="G17" s="67"/>
      <c r="H17" s="66"/>
      <c r="I17" s="68"/>
      <c r="J17" s="68"/>
      <c r="K17" s="68"/>
      <c r="L17" s="66"/>
      <c r="M17" s="68"/>
      <c r="N17" s="68"/>
      <c r="O17" s="66"/>
      <c r="P17" s="66"/>
      <c r="Q17" s="66"/>
      <c r="R17" s="66"/>
      <c r="S17" s="68"/>
      <c r="T17" s="69" t="str">
        <f t="shared" si="0"/>
        <v/>
      </c>
    </row>
    <row r="18" spans="1:20" ht="15" customHeight="1" x14ac:dyDescent="0.25">
      <c r="A18" s="65"/>
      <c r="B18" s="66"/>
      <c r="C18" s="66"/>
      <c r="D18" s="66"/>
      <c r="E18" s="66"/>
      <c r="F18" s="66"/>
      <c r="G18" s="67"/>
      <c r="H18" s="66"/>
      <c r="I18" s="68"/>
      <c r="J18" s="68"/>
      <c r="K18" s="68"/>
      <c r="L18" s="66"/>
      <c r="M18" s="68"/>
      <c r="N18" s="68"/>
      <c r="O18" s="66"/>
      <c r="P18" s="66"/>
      <c r="Q18" s="66"/>
      <c r="R18" s="66"/>
      <c r="S18" s="68"/>
      <c r="T18" s="69" t="str">
        <f t="shared" si="0"/>
        <v/>
      </c>
    </row>
    <row r="19" spans="1:20" ht="15" customHeight="1" x14ac:dyDescent="0.25">
      <c r="A19" s="65"/>
      <c r="B19" s="66"/>
      <c r="C19" s="66"/>
      <c r="D19" s="66"/>
      <c r="E19" s="66"/>
      <c r="F19" s="66"/>
      <c r="G19" s="67"/>
      <c r="H19" s="66"/>
      <c r="I19" s="68"/>
      <c r="J19" s="68"/>
      <c r="K19" s="68"/>
      <c r="L19" s="66"/>
      <c r="M19" s="68"/>
      <c r="N19" s="68"/>
      <c r="O19" s="66"/>
      <c r="P19" s="66"/>
      <c r="Q19" s="66"/>
      <c r="R19" s="66"/>
      <c r="S19" s="68"/>
      <c r="T19" s="69" t="str">
        <f t="shared" si="0"/>
        <v/>
      </c>
    </row>
    <row r="20" spans="1:20" ht="15" customHeight="1" x14ac:dyDescent="0.25">
      <c r="A20" s="65"/>
      <c r="B20" s="66"/>
      <c r="C20" s="66"/>
      <c r="D20" s="66"/>
      <c r="E20" s="66"/>
      <c r="F20" s="66"/>
      <c r="G20" s="67"/>
      <c r="H20" s="66"/>
      <c r="I20" s="68"/>
      <c r="J20" s="68"/>
      <c r="K20" s="68"/>
      <c r="L20" s="66"/>
      <c r="M20" s="68"/>
      <c r="N20" s="68"/>
      <c r="O20" s="66"/>
      <c r="P20" s="66"/>
      <c r="Q20" s="66"/>
      <c r="R20" s="66"/>
      <c r="S20" s="68"/>
      <c r="T20" s="69" t="str">
        <f t="shared" si="0"/>
        <v/>
      </c>
    </row>
    <row r="21" spans="1:20" ht="15" customHeight="1" x14ac:dyDescent="0.25">
      <c r="A21" s="65"/>
      <c r="B21" s="66"/>
      <c r="C21" s="66"/>
      <c r="D21" s="66"/>
      <c r="E21" s="66"/>
      <c r="F21" s="66"/>
      <c r="G21" s="67"/>
      <c r="H21" s="66"/>
      <c r="I21" s="68"/>
      <c r="J21" s="68"/>
      <c r="K21" s="68"/>
      <c r="L21" s="66"/>
      <c r="M21" s="68"/>
      <c r="N21" s="68"/>
      <c r="O21" s="66"/>
      <c r="P21" s="66"/>
      <c r="Q21" s="66"/>
      <c r="R21" s="66"/>
      <c r="S21" s="68"/>
      <c r="T21" s="69" t="str">
        <f t="shared" si="0"/>
        <v/>
      </c>
    </row>
    <row r="22" spans="1:20" ht="15" customHeight="1" x14ac:dyDescent="0.25">
      <c r="A22" s="65"/>
      <c r="B22" s="66"/>
      <c r="C22" s="66"/>
      <c r="D22" s="66"/>
      <c r="E22" s="66"/>
      <c r="F22" s="66"/>
      <c r="G22" s="67"/>
      <c r="H22" s="66"/>
      <c r="I22" s="68"/>
      <c r="J22" s="68"/>
      <c r="K22" s="68"/>
      <c r="L22" s="66"/>
      <c r="M22" s="68"/>
      <c r="N22" s="68"/>
      <c r="O22" s="66"/>
      <c r="P22" s="66"/>
      <c r="Q22" s="66"/>
      <c r="R22" s="66"/>
      <c r="S22" s="68"/>
      <c r="T22" s="69" t="str">
        <f t="shared" si="0"/>
        <v/>
      </c>
    </row>
    <row r="23" spans="1:20" ht="15" customHeight="1" x14ac:dyDescent="0.25">
      <c r="A23" s="65"/>
      <c r="B23" s="66"/>
      <c r="C23" s="66"/>
      <c r="D23" s="66"/>
      <c r="E23" s="66"/>
      <c r="F23" s="66"/>
      <c r="G23" s="67"/>
      <c r="H23" s="66"/>
      <c r="I23" s="68"/>
      <c r="J23" s="68"/>
      <c r="K23" s="68"/>
      <c r="L23" s="66"/>
      <c r="M23" s="68"/>
      <c r="N23" s="68"/>
      <c r="O23" s="66"/>
      <c r="P23" s="66"/>
      <c r="Q23" s="66"/>
      <c r="R23" s="66"/>
      <c r="S23" s="68"/>
      <c r="T23" s="69" t="str">
        <f t="shared" si="0"/>
        <v/>
      </c>
    </row>
    <row r="24" spans="1:20" ht="15" customHeight="1" x14ac:dyDescent="0.25">
      <c r="A24" s="65"/>
      <c r="B24" s="66"/>
      <c r="C24" s="66"/>
      <c r="D24" s="66"/>
      <c r="E24" s="66"/>
      <c r="F24" s="66"/>
      <c r="G24" s="67"/>
      <c r="H24" s="66"/>
      <c r="I24" s="68"/>
      <c r="J24" s="68"/>
      <c r="K24" s="68"/>
      <c r="L24" s="66"/>
      <c r="M24" s="68"/>
      <c r="N24" s="68"/>
      <c r="O24" s="66"/>
      <c r="P24" s="66"/>
      <c r="Q24" s="66"/>
      <c r="R24" s="66"/>
      <c r="S24" s="68"/>
      <c r="T24" s="69" t="str">
        <f t="shared" si="0"/>
        <v/>
      </c>
    </row>
    <row r="25" spans="1:20" ht="15" customHeight="1" x14ac:dyDescent="0.25">
      <c r="A25" s="65"/>
      <c r="B25" s="66"/>
      <c r="C25" s="66"/>
      <c r="D25" s="66"/>
      <c r="E25" s="66"/>
      <c r="F25" s="66"/>
      <c r="G25" s="67"/>
      <c r="H25" s="66"/>
      <c r="I25" s="68"/>
      <c r="J25" s="68"/>
      <c r="K25" s="68"/>
      <c r="L25" s="66"/>
      <c r="M25" s="68"/>
      <c r="N25" s="68"/>
      <c r="O25" s="66"/>
      <c r="P25" s="66"/>
      <c r="Q25" s="66"/>
      <c r="R25" s="66"/>
      <c r="S25" s="68"/>
      <c r="T25" s="69" t="str">
        <f t="shared" si="0"/>
        <v/>
      </c>
    </row>
    <row r="26" spans="1:20" ht="15" customHeight="1" x14ac:dyDescent="0.25">
      <c r="A26" s="65"/>
      <c r="B26" s="66"/>
      <c r="C26" s="66"/>
      <c r="D26" s="66"/>
      <c r="E26" s="66"/>
      <c r="F26" s="66"/>
      <c r="G26" s="67"/>
      <c r="H26" s="66"/>
      <c r="I26" s="68"/>
      <c r="J26" s="68"/>
      <c r="K26" s="68"/>
      <c r="L26" s="66"/>
      <c r="M26" s="68"/>
      <c r="N26" s="68"/>
      <c r="O26" s="66"/>
      <c r="P26" s="66"/>
      <c r="Q26" s="66"/>
      <c r="R26" s="66"/>
      <c r="S26" s="68"/>
      <c r="T26" s="69" t="str">
        <f t="shared" si="0"/>
        <v/>
      </c>
    </row>
    <row r="27" spans="1:20" ht="15" customHeight="1" x14ac:dyDescent="0.25">
      <c r="A27" s="65"/>
      <c r="B27" s="66"/>
      <c r="C27" s="66"/>
      <c r="D27" s="66"/>
      <c r="E27" s="66"/>
      <c r="F27" s="66"/>
      <c r="G27" s="67"/>
      <c r="H27" s="66"/>
      <c r="I27" s="68"/>
      <c r="J27" s="68"/>
      <c r="K27" s="68"/>
      <c r="L27" s="66"/>
      <c r="M27" s="68"/>
      <c r="N27" s="68"/>
      <c r="O27" s="66"/>
      <c r="P27" s="66"/>
      <c r="Q27" s="66"/>
      <c r="R27" s="66"/>
      <c r="S27" s="68"/>
      <c r="T27" s="69" t="str">
        <f t="shared" si="0"/>
        <v/>
      </c>
    </row>
    <row r="28" spans="1:20" ht="15" customHeight="1" x14ac:dyDescent="0.25">
      <c r="A28" s="65"/>
      <c r="B28" s="66"/>
      <c r="C28" s="66"/>
      <c r="D28" s="66"/>
      <c r="E28" s="66"/>
      <c r="F28" s="66"/>
      <c r="G28" s="67"/>
      <c r="H28" s="66"/>
      <c r="I28" s="68"/>
      <c r="J28" s="68"/>
      <c r="K28" s="68"/>
      <c r="L28" s="66"/>
      <c r="M28" s="68"/>
      <c r="N28" s="68"/>
      <c r="O28" s="66"/>
      <c r="P28" s="66"/>
      <c r="Q28" s="66"/>
      <c r="R28" s="66"/>
      <c r="S28" s="68"/>
      <c r="T28" s="69" t="str">
        <f t="shared" si="0"/>
        <v/>
      </c>
    </row>
    <row r="29" spans="1:20" ht="15" customHeight="1" x14ac:dyDescent="0.25">
      <c r="A29" s="65"/>
      <c r="B29" s="66"/>
      <c r="C29" s="66"/>
      <c r="D29" s="66"/>
      <c r="E29" s="66"/>
      <c r="F29" s="66"/>
      <c r="G29" s="67"/>
      <c r="H29" s="66"/>
      <c r="I29" s="68"/>
      <c r="J29" s="68"/>
      <c r="K29" s="68"/>
      <c r="L29" s="66"/>
      <c r="M29" s="68"/>
      <c r="N29" s="68"/>
      <c r="O29" s="66"/>
      <c r="P29" s="66"/>
      <c r="Q29" s="66"/>
      <c r="R29" s="66"/>
      <c r="S29" s="68"/>
      <c r="T29" s="69" t="str">
        <f t="shared" si="0"/>
        <v/>
      </c>
    </row>
    <row r="30" spans="1:20" ht="15" customHeight="1" x14ac:dyDescent="0.25">
      <c r="A30" s="65"/>
      <c r="B30" s="66"/>
      <c r="C30" s="66"/>
      <c r="D30" s="66"/>
      <c r="E30" s="66"/>
      <c r="F30" s="66"/>
      <c r="G30" s="67"/>
      <c r="H30" s="66"/>
      <c r="I30" s="68"/>
      <c r="J30" s="68"/>
      <c r="K30" s="68"/>
      <c r="L30" s="66"/>
      <c r="M30" s="68"/>
      <c r="N30" s="68"/>
      <c r="O30" s="66"/>
      <c r="P30" s="66"/>
      <c r="Q30" s="66"/>
      <c r="R30" s="66"/>
      <c r="S30" s="68"/>
      <c r="T30" s="69" t="str">
        <f t="shared" si="0"/>
        <v/>
      </c>
    </row>
    <row r="31" spans="1:20" ht="15" customHeight="1" x14ac:dyDescent="0.25">
      <c r="A31" s="65"/>
      <c r="B31" s="66"/>
      <c r="C31" s="66"/>
      <c r="D31" s="66"/>
      <c r="E31" s="66"/>
      <c r="F31" s="66"/>
      <c r="G31" s="67"/>
      <c r="H31" s="66"/>
      <c r="I31" s="68"/>
      <c r="J31" s="68"/>
      <c r="K31" s="68"/>
      <c r="L31" s="66"/>
      <c r="M31" s="68"/>
      <c r="N31" s="68"/>
      <c r="O31" s="66"/>
      <c r="P31" s="66"/>
      <c r="Q31" s="66"/>
      <c r="R31" s="66"/>
      <c r="S31" s="68"/>
      <c r="T31" s="69" t="str">
        <f t="shared" si="0"/>
        <v/>
      </c>
    </row>
    <row r="32" spans="1:20" ht="15" customHeight="1" x14ac:dyDescent="0.25">
      <c r="A32" s="65"/>
      <c r="B32" s="66"/>
      <c r="C32" s="66"/>
      <c r="D32" s="66"/>
      <c r="E32" s="66"/>
      <c r="F32" s="66"/>
      <c r="G32" s="67"/>
      <c r="H32" s="66"/>
      <c r="I32" s="68"/>
      <c r="J32" s="68"/>
      <c r="K32" s="68"/>
      <c r="L32" s="66"/>
      <c r="M32" s="68"/>
      <c r="N32" s="68"/>
      <c r="O32" s="66"/>
      <c r="P32" s="66"/>
      <c r="Q32" s="66"/>
      <c r="R32" s="66"/>
      <c r="S32" s="68"/>
      <c r="T32" s="69" t="str">
        <f t="shared" si="0"/>
        <v/>
      </c>
    </row>
    <row r="33" spans="1:20" ht="15" customHeight="1" x14ac:dyDescent="0.25">
      <c r="A33" s="65"/>
      <c r="B33" s="66"/>
      <c r="C33" s="66"/>
      <c r="D33" s="66"/>
      <c r="E33" s="66"/>
      <c r="F33" s="66"/>
      <c r="G33" s="67"/>
      <c r="H33" s="66"/>
      <c r="I33" s="68"/>
      <c r="J33" s="68"/>
      <c r="K33" s="68"/>
      <c r="L33" s="66"/>
      <c r="M33" s="68"/>
      <c r="N33" s="68"/>
      <c r="O33" s="66"/>
      <c r="P33" s="66"/>
      <c r="Q33" s="66"/>
      <c r="R33" s="66"/>
      <c r="S33" s="68"/>
      <c r="T33" s="69" t="str">
        <f t="shared" si="0"/>
        <v/>
      </c>
    </row>
    <row r="34" spans="1:20" ht="15" customHeight="1" x14ac:dyDescent="0.25">
      <c r="A34" s="65"/>
      <c r="B34" s="66"/>
      <c r="C34" s="66"/>
      <c r="D34" s="66"/>
      <c r="E34" s="66"/>
      <c r="F34" s="66"/>
      <c r="G34" s="67"/>
      <c r="H34" s="66"/>
      <c r="I34" s="68"/>
      <c r="J34" s="68"/>
      <c r="K34" s="68"/>
      <c r="L34" s="66"/>
      <c r="M34" s="68"/>
      <c r="N34" s="68"/>
      <c r="O34" s="66"/>
      <c r="P34" s="66"/>
      <c r="Q34" s="66"/>
      <c r="R34" s="66"/>
      <c r="S34" s="68"/>
      <c r="T34" s="69" t="str">
        <f t="shared" si="0"/>
        <v/>
      </c>
    </row>
    <row r="35" spans="1:20" ht="15" customHeight="1" x14ac:dyDescent="0.25">
      <c r="A35" s="65"/>
      <c r="B35" s="66"/>
      <c r="C35" s="66"/>
      <c r="D35" s="66"/>
      <c r="E35" s="66"/>
      <c r="F35" s="66"/>
      <c r="G35" s="67"/>
      <c r="H35" s="66"/>
      <c r="I35" s="68"/>
      <c r="J35" s="68"/>
      <c r="K35" s="68"/>
      <c r="L35" s="66"/>
      <c r="M35" s="68"/>
      <c r="N35" s="68"/>
      <c r="O35" s="66"/>
      <c r="P35" s="66"/>
      <c r="Q35" s="66"/>
      <c r="R35" s="66"/>
      <c r="S35" s="68"/>
      <c r="T35" s="69" t="str">
        <f t="shared" si="0"/>
        <v/>
      </c>
    </row>
    <row r="36" spans="1:20" ht="15" customHeight="1" x14ac:dyDescent="0.25">
      <c r="A36" s="65"/>
      <c r="B36" s="66"/>
      <c r="C36" s="66"/>
      <c r="D36" s="66"/>
      <c r="E36" s="66"/>
      <c r="F36" s="66"/>
      <c r="G36" s="67"/>
      <c r="H36" s="66"/>
      <c r="I36" s="68"/>
      <c r="J36" s="68"/>
      <c r="K36" s="68"/>
      <c r="L36" s="66"/>
      <c r="M36" s="68"/>
      <c r="N36" s="68"/>
      <c r="O36" s="66"/>
      <c r="P36" s="66"/>
      <c r="Q36" s="66"/>
      <c r="R36" s="66"/>
      <c r="S36" s="68"/>
      <c r="T36" s="69" t="str">
        <f t="shared" si="0"/>
        <v/>
      </c>
    </row>
    <row r="37" spans="1:20" ht="15" customHeight="1" x14ac:dyDescent="0.25">
      <c r="A37" s="65"/>
      <c r="B37" s="66"/>
      <c r="C37" s="66"/>
      <c r="D37" s="66"/>
      <c r="E37" s="66"/>
      <c r="F37" s="66"/>
      <c r="G37" s="67"/>
      <c r="H37" s="66"/>
      <c r="I37" s="68"/>
      <c r="J37" s="68"/>
      <c r="K37" s="68"/>
      <c r="L37" s="66"/>
      <c r="M37" s="68"/>
      <c r="N37" s="68"/>
      <c r="O37" s="66"/>
      <c r="P37" s="66"/>
      <c r="Q37" s="66"/>
      <c r="R37" s="66"/>
      <c r="S37" s="68"/>
      <c r="T37" s="69" t="str">
        <f t="shared" ref="T37:T68" si="1">IF($G37="","",$G37+ROW()/100000)</f>
        <v/>
      </c>
    </row>
    <row r="38" spans="1:20" ht="15" customHeight="1" x14ac:dyDescent="0.25">
      <c r="A38" s="65"/>
      <c r="B38" s="66"/>
      <c r="C38" s="66"/>
      <c r="D38" s="66"/>
      <c r="E38" s="66"/>
      <c r="F38" s="66"/>
      <c r="G38" s="67"/>
      <c r="H38" s="66"/>
      <c r="I38" s="68"/>
      <c r="J38" s="68"/>
      <c r="K38" s="68"/>
      <c r="L38" s="66"/>
      <c r="M38" s="68"/>
      <c r="N38" s="68"/>
      <c r="O38" s="66"/>
      <c r="P38" s="66"/>
      <c r="Q38" s="66"/>
      <c r="R38" s="66"/>
      <c r="S38" s="68"/>
      <c r="T38" s="69" t="str">
        <f t="shared" si="1"/>
        <v/>
      </c>
    </row>
    <row r="39" spans="1:20" ht="15" customHeight="1" x14ac:dyDescent="0.25">
      <c r="A39" s="65"/>
      <c r="B39" s="66"/>
      <c r="C39" s="66"/>
      <c r="D39" s="66"/>
      <c r="E39" s="66"/>
      <c r="F39" s="66"/>
      <c r="G39" s="67"/>
      <c r="H39" s="66"/>
      <c r="I39" s="68"/>
      <c r="J39" s="68"/>
      <c r="K39" s="68"/>
      <c r="L39" s="66"/>
      <c r="M39" s="68"/>
      <c r="N39" s="68"/>
      <c r="O39" s="66"/>
      <c r="P39" s="66"/>
      <c r="Q39" s="66"/>
      <c r="R39" s="66"/>
      <c r="S39" s="68"/>
      <c r="T39" s="69" t="str">
        <f t="shared" si="1"/>
        <v/>
      </c>
    </row>
    <row r="40" spans="1:20" ht="15" customHeight="1" x14ac:dyDescent="0.25">
      <c r="A40" s="65"/>
      <c r="B40" s="66"/>
      <c r="C40" s="66"/>
      <c r="D40" s="66"/>
      <c r="E40" s="66"/>
      <c r="F40" s="66"/>
      <c r="G40" s="67"/>
      <c r="H40" s="66"/>
      <c r="I40" s="68"/>
      <c r="J40" s="68"/>
      <c r="K40" s="68"/>
      <c r="L40" s="66"/>
      <c r="M40" s="68"/>
      <c r="N40" s="68"/>
      <c r="O40" s="66"/>
      <c r="P40" s="66"/>
      <c r="Q40" s="66"/>
      <c r="R40" s="66"/>
      <c r="S40" s="68"/>
      <c r="T40" s="69" t="str">
        <f t="shared" si="1"/>
        <v/>
      </c>
    </row>
    <row r="41" spans="1:20" ht="15" customHeight="1" x14ac:dyDescent="0.25">
      <c r="A41" s="65"/>
      <c r="B41" s="66"/>
      <c r="C41" s="66"/>
      <c r="D41" s="66"/>
      <c r="E41" s="66"/>
      <c r="F41" s="66"/>
      <c r="G41" s="67"/>
      <c r="H41" s="66"/>
      <c r="I41" s="68"/>
      <c r="J41" s="68"/>
      <c r="K41" s="68"/>
      <c r="L41" s="66"/>
      <c r="M41" s="68"/>
      <c r="N41" s="68"/>
      <c r="O41" s="66"/>
      <c r="P41" s="66"/>
      <c r="Q41" s="66"/>
      <c r="R41" s="66"/>
      <c r="S41" s="68"/>
      <c r="T41" s="69" t="str">
        <f t="shared" si="1"/>
        <v/>
      </c>
    </row>
    <row r="42" spans="1:20" ht="15" customHeight="1" x14ac:dyDescent="0.25">
      <c r="A42" s="65"/>
      <c r="B42" s="66"/>
      <c r="C42" s="66"/>
      <c r="D42" s="66"/>
      <c r="E42" s="66"/>
      <c r="F42" s="66"/>
      <c r="G42" s="67"/>
      <c r="H42" s="66"/>
      <c r="I42" s="68"/>
      <c r="J42" s="68"/>
      <c r="K42" s="68"/>
      <c r="L42" s="66"/>
      <c r="M42" s="68"/>
      <c r="N42" s="68"/>
      <c r="O42" s="66"/>
      <c r="P42" s="66"/>
      <c r="Q42" s="66"/>
      <c r="R42" s="66"/>
      <c r="S42" s="68"/>
      <c r="T42" s="69" t="str">
        <f t="shared" si="1"/>
        <v/>
      </c>
    </row>
    <row r="43" spans="1:20" ht="15" customHeight="1" x14ac:dyDescent="0.25">
      <c r="A43" s="65"/>
      <c r="B43" s="66"/>
      <c r="C43" s="66"/>
      <c r="D43" s="66"/>
      <c r="E43" s="66"/>
      <c r="F43" s="66"/>
      <c r="G43" s="67"/>
      <c r="H43" s="66"/>
      <c r="I43" s="68"/>
      <c r="J43" s="68"/>
      <c r="K43" s="68"/>
      <c r="L43" s="66"/>
      <c r="M43" s="68"/>
      <c r="N43" s="68"/>
      <c r="O43" s="66"/>
      <c r="P43" s="66"/>
      <c r="Q43" s="66"/>
      <c r="R43" s="66"/>
      <c r="S43" s="68"/>
      <c r="T43" s="69" t="str">
        <f t="shared" si="1"/>
        <v/>
      </c>
    </row>
    <row r="44" spans="1:20" ht="15" customHeight="1" x14ac:dyDescent="0.25">
      <c r="A44" s="65"/>
      <c r="B44" s="66"/>
      <c r="C44" s="66"/>
      <c r="D44" s="66"/>
      <c r="E44" s="66"/>
      <c r="F44" s="66"/>
      <c r="G44" s="67"/>
      <c r="H44" s="66"/>
      <c r="I44" s="68"/>
      <c r="J44" s="68"/>
      <c r="K44" s="68"/>
      <c r="L44" s="66"/>
      <c r="M44" s="68"/>
      <c r="N44" s="68"/>
      <c r="O44" s="66"/>
      <c r="P44" s="66"/>
      <c r="Q44" s="66"/>
      <c r="R44" s="66"/>
      <c r="S44" s="68"/>
      <c r="T44" s="69" t="str">
        <f t="shared" si="1"/>
        <v/>
      </c>
    </row>
    <row r="45" spans="1:20" ht="15" customHeight="1" x14ac:dyDescent="0.25">
      <c r="A45" s="65"/>
      <c r="B45" s="66"/>
      <c r="C45" s="66"/>
      <c r="D45" s="66"/>
      <c r="E45" s="66"/>
      <c r="F45" s="66"/>
      <c r="G45" s="67"/>
      <c r="H45" s="66"/>
      <c r="I45" s="68"/>
      <c r="J45" s="68"/>
      <c r="K45" s="68"/>
      <c r="L45" s="66"/>
      <c r="M45" s="68"/>
      <c r="N45" s="68"/>
      <c r="O45" s="66"/>
      <c r="P45" s="66"/>
      <c r="Q45" s="66"/>
      <c r="R45" s="66"/>
      <c r="S45" s="68"/>
      <c r="T45" s="69" t="str">
        <f t="shared" si="1"/>
        <v/>
      </c>
    </row>
    <row r="46" spans="1:20" ht="15" customHeight="1" x14ac:dyDescent="0.25">
      <c r="A46" s="65"/>
      <c r="B46" s="66"/>
      <c r="C46" s="66"/>
      <c r="D46" s="66"/>
      <c r="E46" s="66"/>
      <c r="F46" s="66"/>
      <c r="G46" s="67"/>
      <c r="H46" s="66"/>
      <c r="I46" s="68"/>
      <c r="J46" s="68"/>
      <c r="K46" s="68"/>
      <c r="L46" s="66"/>
      <c r="M46" s="68"/>
      <c r="N46" s="68"/>
      <c r="O46" s="66"/>
      <c r="P46" s="66"/>
      <c r="Q46" s="66"/>
      <c r="R46" s="66"/>
      <c r="S46" s="68"/>
      <c r="T46" s="69" t="str">
        <f t="shared" si="1"/>
        <v/>
      </c>
    </row>
    <row r="47" spans="1:20" ht="15" customHeight="1" x14ac:dyDescent="0.25">
      <c r="A47" s="65"/>
      <c r="B47" s="66"/>
      <c r="C47" s="66"/>
      <c r="D47" s="66"/>
      <c r="E47" s="66"/>
      <c r="F47" s="66"/>
      <c r="G47" s="67"/>
      <c r="H47" s="66"/>
      <c r="I47" s="68"/>
      <c r="J47" s="68"/>
      <c r="K47" s="68"/>
      <c r="L47" s="66"/>
      <c r="M47" s="68"/>
      <c r="N47" s="68"/>
      <c r="O47" s="66"/>
      <c r="P47" s="66"/>
      <c r="Q47" s="66"/>
      <c r="R47" s="66"/>
      <c r="S47" s="68"/>
      <c r="T47" s="69" t="str">
        <f t="shared" si="1"/>
        <v/>
      </c>
    </row>
    <row r="48" spans="1:20" ht="15" customHeight="1" x14ac:dyDescent="0.25">
      <c r="A48" s="65"/>
      <c r="B48" s="66"/>
      <c r="C48" s="66"/>
      <c r="D48" s="66"/>
      <c r="E48" s="66"/>
      <c r="F48" s="66"/>
      <c r="G48" s="67"/>
      <c r="H48" s="66"/>
      <c r="I48" s="68"/>
      <c r="J48" s="68"/>
      <c r="K48" s="68"/>
      <c r="L48" s="66"/>
      <c r="M48" s="68"/>
      <c r="N48" s="68"/>
      <c r="O48" s="66"/>
      <c r="P48" s="66"/>
      <c r="Q48" s="66"/>
      <c r="R48" s="66"/>
      <c r="S48" s="68"/>
      <c r="T48" s="69" t="str">
        <f t="shared" si="1"/>
        <v/>
      </c>
    </row>
    <row r="49" spans="1:20" ht="15" customHeight="1" x14ac:dyDescent="0.25">
      <c r="A49" s="65"/>
      <c r="B49" s="66"/>
      <c r="C49" s="66"/>
      <c r="D49" s="66"/>
      <c r="E49" s="66"/>
      <c r="F49" s="66"/>
      <c r="G49" s="67"/>
      <c r="H49" s="66"/>
      <c r="I49" s="68"/>
      <c r="J49" s="68"/>
      <c r="K49" s="68"/>
      <c r="L49" s="66"/>
      <c r="M49" s="68"/>
      <c r="N49" s="68"/>
      <c r="O49" s="66"/>
      <c r="P49" s="66"/>
      <c r="Q49" s="66"/>
      <c r="R49" s="66"/>
      <c r="S49" s="68"/>
      <c r="T49" s="69" t="str">
        <f t="shared" si="1"/>
        <v/>
      </c>
    </row>
    <row r="50" spans="1:20" ht="15" customHeight="1" x14ac:dyDescent="0.25">
      <c r="A50" s="65"/>
      <c r="B50" s="66"/>
      <c r="C50" s="66"/>
      <c r="D50" s="66"/>
      <c r="E50" s="66"/>
      <c r="F50" s="66"/>
      <c r="G50" s="67"/>
      <c r="H50" s="66"/>
      <c r="I50" s="68"/>
      <c r="J50" s="68"/>
      <c r="K50" s="68"/>
      <c r="L50" s="66"/>
      <c r="M50" s="68"/>
      <c r="N50" s="68"/>
      <c r="O50" s="66"/>
      <c r="P50" s="66"/>
      <c r="Q50" s="66"/>
      <c r="R50" s="66"/>
      <c r="S50" s="68"/>
      <c r="T50" s="69" t="str">
        <f t="shared" si="1"/>
        <v/>
      </c>
    </row>
    <row r="51" spans="1:20" ht="15" customHeight="1" x14ac:dyDescent="0.25">
      <c r="A51" s="65"/>
      <c r="B51" s="66"/>
      <c r="C51" s="66"/>
      <c r="D51" s="66"/>
      <c r="E51" s="66"/>
      <c r="F51" s="66"/>
      <c r="G51" s="67"/>
      <c r="H51" s="66"/>
      <c r="I51" s="68"/>
      <c r="J51" s="68"/>
      <c r="K51" s="68"/>
      <c r="L51" s="66"/>
      <c r="M51" s="68"/>
      <c r="N51" s="68"/>
      <c r="O51" s="66"/>
      <c r="P51" s="66"/>
      <c r="Q51" s="66"/>
      <c r="R51" s="66"/>
      <c r="S51" s="68"/>
      <c r="T51" s="69" t="str">
        <f t="shared" si="1"/>
        <v/>
      </c>
    </row>
    <row r="52" spans="1:20" ht="15" customHeight="1" x14ac:dyDescent="0.25">
      <c r="A52" s="65"/>
      <c r="B52" s="66"/>
      <c r="C52" s="66"/>
      <c r="D52" s="66"/>
      <c r="E52" s="66"/>
      <c r="F52" s="66"/>
      <c r="G52" s="67"/>
      <c r="H52" s="66"/>
      <c r="I52" s="68"/>
      <c r="J52" s="68"/>
      <c r="K52" s="68"/>
      <c r="L52" s="66"/>
      <c r="M52" s="68"/>
      <c r="N52" s="68"/>
      <c r="O52" s="66"/>
      <c r="P52" s="66"/>
      <c r="Q52" s="66"/>
      <c r="R52" s="66"/>
      <c r="S52" s="68"/>
      <c r="T52" s="69" t="str">
        <f t="shared" si="1"/>
        <v/>
      </c>
    </row>
    <row r="53" spans="1:20" ht="15" customHeight="1" x14ac:dyDescent="0.25">
      <c r="A53" s="65"/>
      <c r="B53" s="66"/>
      <c r="C53" s="66"/>
      <c r="D53" s="66"/>
      <c r="E53" s="66"/>
      <c r="F53" s="66"/>
      <c r="G53" s="67"/>
      <c r="H53" s="66"/>
      <c r="I53" s="68"/>
      <c r="J53" s="68"/>
      <c r="K53" s="68"/>
      <c r="L53" s="66"/>
      <c r="M53" s="68"/>
      <c r="N53" s="68"/>
      <c r="O53" s="66"/>
      <c r="P53" s="66"/>
      <c r="Q53" s="66"/>
      <c r="R53" s="66"/>
      <c r="S53" s="68"/>
      <c r="T53" s="69" t="str">
        <f t="shared" si="1"/>
        <v/>
      </c>
    </row>
    <row r="54" spans="1:20" ht="15" customHeight="1" x14ac:dyDescent="0.25">
      <c r="A54" s="65"/>
      <c r="B54" s="66"/>
      <c r="C54" s="66"/>
      <c r="D54" s="66"/>
      <c r="E54" s="66"/>
      <c r="F54" s="66"/>
      <c r="G54" s="67"/>
      <c r="H54" s="66"/>
      <c r="I54" s="68"/>
      <c r="J54" s="68"/>
      <c r="K54" s="68"/>
      <c r="L54" s="66"/>
      <c r="M54" s="68"/>
      <c r="N54" s="68"/>
      <c r="O54" s="66"/>
      <c r="P54" s="66"/>
      <c r="Q54" s="66"/>
      <c r="R54" s="66"/>
      <c r="S54" s="68"/>
      <c r="T54" s="69" t="str">
        <f t="shared" si="1"/>
        <v/>
      </c>
    </row>
    <row r="55" spans="1:20" ht="15" customHeight="1" x14ac:dyDescent="0.25">
      <c r="A55" s="65"/>
      <c r="B55" s="66"/>
      <c r="C55" s="66"/>
      <c r="D55" s="66"/>
      <c r="E55" s="66"/>
      <c r="F55" s="66"/>
      <c r="G55" s="67"/>
      <c r="H55" s="66"/>
      <c r="I55" s="68"/>
      <c r="J55" s="68"/>
      <c r="K55" s="68"/>
      <c r="L55" s="66"/>
      <c r="M55" s="68"/>
      <c r="N55" s="68"/>
      <c r="O55" s="66"/>
      <c r="P55" s="66"/>
      <c r="Q55" s="66"/>
      <c r="R55" s="66"/>
      <c r="S55" s="68"/>
      <c r="T55" s="69" t="str">
        <f t="shared" si="1"/>
        <v/>
      </c>
    </row>
    <row r="56" spans="1:20" ht="15" customHeight="1" x14ac:dyDescent="0.25">
      <c r="A56" s="65"/>
      <c r="B56" s="66"/>
      <c r="C56" s="66"/>
      <c r="D56" s="66"/>
      <c r="E56" s="66"/>
      <c r="F56" s="66"/>
      <c r="G56" s="67"/>
      <c r="H56" s="66"/>
      <c r="I56" s="68"/>
      <c r="J56" s="68"/>
      <c r="K56" s="68"/>
      <c r="L56" s="66"/>
      <c r="M56" s="68"/>
      <c r="N56" s="68"/>
      <c r="O56" s="66"/>
      <c r="P56" s="66"/>
      <c r="Q56" s="66"/>
      <c r="R56" s="66"/>
      <c r="S56" s="68"/>
      <c r="T56" s="69" t="str">
        <f t="shared" si="1"/>
        <v/>
      </c>
    </row>
    <row r="57" spans="1:20" ht="15" customHeight="1" x14ac:dyDescent="0.25">
      <c r="A57" s="65"/>
      <c r="B57" s="66"/>
      <c r="C57" s="66"/>
      <c r="D57" s="66"/>
      <c r="E57" s="66"/>
      <c r="F57" s="66"/>
      <c r="G57" s="67"/>
      <c r="H57" s="66"/>
      <c r="I57" s="68"/>
      <c r="J57" s="68"/>
      <c r="K57" s="68"/>
      <c r="L57" s="66"/>
      <c r="M57" s="68"/>
      <c r="N57" s="68"/>
      <c r="O57" s="66"/>
      <c r="P57" s="66"/>
      <c r="Q57" s="66"/>
      <c r="R57" s="66"/>
      <c r="S57" s="68"/>
      <c r="T57" s="69" t="str">
        <f t="shared" si="1"/>
        <v/>
      </c>
    </row>
    <row r="58" spans="1:20" ht="15" customHeight="1" x14ac:dyDescent="0.25">
      <c r="A58" s="65"/>
      <c r="B58" s="66"/>
      <c r="C58" s="66"/>
      <c r="D58" s="66"/>
      <c r="E58" s="66"/>
      <c r="F58" s="66"/>
      <c r="G58" s="67"/>
      <c r="H58" s="66"/>
      <c r="I58" s="68"/>
      <c r="J58" s="68"/>
      <c r="K58" s="68"/>
      <c r="L58" s="66"/>
      <c r="M58" s="68"/>
      <c r="N58" s="68"/>
      <c r="O58" s="66"/>
      <c r="P58" s="66"/>
      <c r="Q58" s="66"/>
      <c r="R58" s="66"/>
      <c r="S58" s="68"/>
      <c r="T58" s="69" t="str">
        <f t="shared" si="1"/>
        <v/>
      </c>
    </row>
    <row r="59" spans="1:20" ht="15" customHeight="1" x14ac:dyDescent="0.25">
      <c r="A59" s="65"/>
      <c r="B59" s="66"/>
      <c r="C59" s="66"/>
      <c r="D59" s="66"/>
      <c r="E59" s="66"/>
      <c r="F59" s="66"/>
      <c r="G59" s="67"/>
      <c r="H59" s="66"/>
      <c r="I59" s="68"/>
      <c r="J59" s="68"/>
      <c r="K59" s="68"/>
      <c r="L59" s="66"/>
      <c r="M59" s="68"/>
      <c r="N59" s="68"/>
      <c r="O59" s="66"/>
      <c r="P59" s="66"/>
      <c r="Q59" s="66"/>
      <c r="R59" s="66"/>
      <c r="S59" s="68"/>
      <c r="T59" s="69" t="str">
        <f t="shared" si="1"/>
        <v/>
      </c>
    </row>
    <row r="60" spans="1:20" ht="15" customHeight="1" x14ac:dyDescent="0.25">
      <c r="A60" s="65"/>
      <c r="B60" s="66"/>
      <c r="C60" s="66"/>
      <c r="D60" s="66"/>
      <c r="E60" s="66"/>
      <c r="F60" s="66"/>
      <c r="G60" s="67"/>
      <c r="H60" s="66"/>
      <c r="I60" s="68"/>
      <c r="J60" s="68"/>
      <c r="K60" s="68"/>
      <c r="L60" s="66"/>
      <c r="M60" s="68"/>
      <c r="N60" s="68"/>
      <c r="O60" s="66"/>
      <c r="P60" s="66"/>
      <c r="Q60" s="66"/>
      <c r="R60" s="66"/>
      <c r="S60" s="68"/>
      <c r="T60" s="69" t="str">
        <f t="shared" si="1"/>
        <v/>
      </c>
    </row>
    <row r="61" spans="1:20" ht="15" customHeight="1" x14ac:dyDescent="0.25">
      <c r="A61" s="65"/>
      <c r="B61" s="66"/>
      <c r="C61" s="66"/>
      <c r="D61" s="66"/>
      <c r="E61" s="66"/>
      <c r="F61" s="66"/>
      <c r="G61" s="67"/>
      <c r="H61" s="66"/>
      <c r="I61" s="68"/>
      <c r="J61" s="68"/>
      <c r="K61" s="68"/>
      <c r="L61" s="66"/>
      <c r="M61" s="68"/>
      <c r="N61" s="68"/>
      <c r="O61" s="66"/>
      <c r="P61" s="66"/>
      <c r="Q61" s="66"/>
      <c r="R61" s="66"/>
      <c r="S61" s="68"/>
      <c r="T61" s="69" t="str">
        <f t="shared" si="1"/>
        <v/>
      </c>
    </row>
    <row r="62" spans="1:20" ht="15" customHeight="1" x14ac:dyDescent="0.25">
      <c r="A62" s="65"/>
      <c r="B62" s="66"/>
      <c r="C62" s="66"/>
      <c r="D62" s="66"/>
      <c r="E62" s="66"/>
      <c r="F62" s="66"/>
      <c r="G62" s="67"/>
      <c r="H62" s="66"/>
      <c r="I62" s="68"/>
      <c r="J62" s="68"/>
      <c r="K62" s="68"/>
      <c r="L62" s="66"/>
      <c r="M62" s="68"/>
      <c r="N62" s="68"/>
      <c r="O62" s="66"/>
      <c r="P62" s="66"/>
      <c r="Q62" s="66"/>
      <c r="R62" s="66"/>
      <c r="S62" s="68"/>
      <c r="T62" s="69" t="str">
        <f t="shared" si="1"/>
        <v/>
      </c>
    </row>
    <row r="63" spans="1:20" ht="15" customHeight="1" x14ac:dyDescent="0.25">
      <c r="A63" s="65"/>
      <c r="B63" s="66"/>
      <c r="C63" s="66"/>
      <c r="D63" s="66"/>
      <c r="E63" s="66"/>
      <c r="F63" s="66"/>
      <c r="G63" s="67"/>
      <c r="H63" s="66"/>
      <c r="I63" s="68"/>
      <c r="J63" s="68"/>
      <c r="K63" s="68"/>
      <c r="L63" s="66"/>
      <c r="M63" s="68"/>
      <c r="N63" s="68"/>
      <c r="O63" s="66"/>
      <c r="P63" s="66"/>
      <c r="Q63" s="66"/>
      <c r="R63" s="66"/>
      <c r="S63" s="68"/>
      <c r="T63" s="69" t="str">
        <f t="shared" si="1"/>
        <v/>
      </c>
    </row>
    <row r="64" spans="1:20" ht="15" customHeight="1" x14ac:dyDescent="0.25">
      <c r="A64" s="65"/>
      <c r="B64" s="66"/>
      <c r="C64" s="66"/>
      <c r="D64" s="66"/>
      <c r="E64" s="66"/>
      <c r="F64" s="66"/>
      <c r="G64" s="67"/>
      <c r="H64" s="66"/>
      <c r="I64" s="68"/>
      <c r="J64" s="68"/>
      <c r="K64" s="68"/>
      <c r="L64" s="66"/>
      <c r="M64" s="68"/>
      <c r="N64" s="68"/>
      <c r="O64" s="66"/>
      <c r="P64" s="66"/>
      <c r="Q64" s="66"/>
      <c r="R64" s="66"/>
      <c r="S64" s="68"/>
      <c r="T64" s="69" t="str">
        <f t="shared" si="1"/>
        <v/>
      </c>
    </row>
    <row r="65" spans="1:20" ht="15" customHeight="1" x14ac:dyDescent="0.25">
      <c r="A65" s="65"/>
      <c r="B65" s="66"/>
      <c r="C65" s="66"/>
      <c r="D65" s="66"/>
      <c r="E65" s="66"/>
      <c r="F65" s="66"/>
      <c r="G65" s="67"/>
      <c r="H65" s="66"/>
      <c r="I65" s="68"/>
      <c r="J65" s="68"/>
      <c r="K65" s="68"/>
      <c r="L65" s="66"/>
      <c r="M65" s="68"/>
      <c r="N65" s="68"/>
      <c r="O65" s="66"/>
      <c r="P65" s="66"/>
      <c r="Q65" s="66"/>
      <c r="R65" s="66"/>
      <c r="S65" s="68"/>
      <c r="T65" s="69" t="str">
        <f t="shared" si="1"/>
        <v/>
      </c>
    </row>
    <row r="66" spans="1:20" ht="15" customHeight="1" x14ac:dyDescent="0.25">
      <c r="A66" s="65"/>
      <c r="B66" s="66"/>
      <c r="C66" s="66"/>
      <c r="D66" s="66"/>
      <c r="E66" s="66"/>
      <c r="F66" s="66"/>
      <c r="G66" s="67"/>
      <c r="H66" s="66"/>
      <c r="I66" s="68"/>
      <c r="J66" s="68"/>
      <c r="K66" s="68"/>
      <c r="L66" s="66"/>
      <c r="M66" s="68"/>
      <c r="N66" s="68"/>
      <c r="O66" s="66"/>
      <c r="P66" s="66"/>
      <c r="Q66" s="66"/>
      <c r="R66" s="66"/>
      <c r="S66" s="68"/>
      <c r="T66" s="69" t="str">
        <f t="shared" si="1"/>
        <v/>
      </c>
    </row>
    <row r="67" spans="1:20" ht="15" customHeight="1" x14ac:dyDescent="0.25">
      <c r="A67" s="65"/>
      <c r="B67" s="66"/>
      <c r="C67" s="66"/>
      <c r="D67" s="66"/>
      <c r="E67" s="66"/>
      <c r="F67" s="66"/>
      <c r="G67" s="67"/>
      <c r="H67" s="66"/>
      <c r="I67" s="68"/>
      <c r="J67" s="68"/>
      <c r="K67" s="68"/>
      <c r="L67" s="66"/>
      <c r="M67" s="68"/>
      <c r="N67" s="68"/>
      <c r="O67" s="66"/>
      <c r="P67" s="66"/>
      <c r="Q67" s="66"/>
      <c r="R67" s="66"/>
      <c r="S67" s="68"/>
      <c r="T67" s="69" t="str">
        <f t="shared" si="1"/>
        <v/>
      </c>
    </row>
    <row r="68" spans="1:20" ht="15" customHeight="1" x14ac:dyDescent="0.25">
      <c r="A68" s="65"/>
      <c r="B68" s="66"/>
      <c r="C68" s="66"/>
      <c r="D68" s="66"/>
      <c r="E68" s="66"/>
      <c r="F68" s="66"/>
      <c r="G68" s="67"/>
      <c r="H68" s="66"/>
      <c r="I68" s="68"/>
      <c r="J68" s="68"/>
      <c r="K68" s="68"/>
      <c r="L68" s="66"/>
      <c r="M68" s="68"/>
      <c r="N68" s="68"/>
      <c r="O68" s="66"/>
      <c r="P68" s="66"/>
      <c r="Q68" s="66"/>
      <c r="R68" s="66"/>
      <c r="S68" s="68"/>
      <c r="T68" s="69" t="str">
        <f t="shared" si="1"/>
        <v/>
      </c>
    </row>
    <row r="69" spans="1:20" ht="15" customHeight="1" x14ac:dyDescent="0.25">
      <c r="A69" s="65"/>
      <c r="B69" s="66"/>
      <c r="C69" s="66"/>
      <c r="D69" s="66"/>
      <c r="E69" s="66"/>
      <c r="F69" s="66"/>
      <c r="G69" s="67"/>
      <c r="H69" s="66"/>
      <c r="I69" s="68"/>
      <c r="J69" s="68"/>
      <c r="K69" s="68"/>
      <c r="L69" s="66"/>
      <c r="M69" s="68"/>
      <c r="N69" s="68"/>
      <c r="O69" s="66"/>
      <c r="P69" s="66"/>
      <c r="Q69" s="66"/>
      <c r="R69" s="66"/>
      <c r="S69" s="68"/>
      <c r="T69" s="69" t="str">
        <f t="shared" ref="T69:T100" si="2">IF($G69="","",$G69+ROW()/100000)</f>
        <v/>
      </c>
    </row>
    <row r="70" spans="1:20" ht="15" customHeight="1" x14ac:dyDescent="0.25">
      <c r="A70" s="65"/>
      <c r="B70" s="66"/>
      <c r="C70" s="66"/>
      <c r="D70" s="66"/>
      <c r="E70" s="66"/>
      <c r="F70" s="66"/>
      <c r="G70" s="67"/>
      <c r="H70" s="66"/>
      <c r="I70" s="68"/>
      <c r="J70" s="68"/>
      <c r="K70" s="68"/>
      <c r="L70" s="66"/>
      <c r="M70" s="68"/>
      <c r="N70" s="68"/>
      <c r="O70" s="66"/>
      <c r="P70" s="66"/>
      <c r="Q70" s="66"/>
      <c r="R70" s="66"/>
      <c r="S70" s="68"/>
      <c r="T70" s="69" t="str">
        <f t="shared" si="2"/>
        <v/>
      </c>
    </row>
    <row r="71" spans="1:20" ht="15" customHeight="1" x14ac:dyDescent="0.25">
      <c r="A71" s="65"/>
      <c r="B71" s="66"/>
      <c r="C71" s="66"/>
      <c r="D71" s="66"/>
      <c r="E71" s="66"/>
      <c r="F71" s="66"/>
      <c r="G71" s="67"/>
      <c r="H71" s="66"/>
      <c r="I71" s="68"/>
      <c r="J71" s="68"/>
      <c r="K71" s="68"/>
      <c r="L71" s="66"/>
      <c r="M71" s="68"/>
      <c r="N71" s="68"/>
      <c r="O71" s="66"/>
      <c r="P71" s="66"/>
      <c r="Q71" s="66"/>
      <c r="R71" s="66"/>
      <c r="S71" s="68"/>
      <c r="T71" s="69" t="str">
        <f t="shared" si="2"/>
        <v/>
      </c>
    </row>
    <row r="72" spans="1:20" ht="15" customHeight="1" x14ac:dyDescent="0.25">
      <c r="A72" s="65"/>
      <c r="B72" s="66"/>
      <c r="C72" s="66"/>
      <c r="D72" s="66"/>
      <c r="E72" s="66"/>
      <c r="F72" s="66"/>
      <c r="G72" s="67"/>
      <c r="H72" s="66"/>
      <c r="I72" s="68"/>
      <c r="J72" s="68"/>
      <c r="K72" s="68"/>
      <c r="L72" s="66"/>
      <c r="M72" s="68"/>
      <c r="N72" s="68"/>
      <c r="O72" s="66"/>
      <c r="P72" s="66"/>
      <c r="Q72" s="66"/>
      <c r="R72" s="66"/>
      <c r="S72" s="68"/>
      <c r="T72" s="69" t="str">
        <f t="shared" si="2"/>
        <v/>
      </c>
    </row>
    <row r="73" spans="1:20" ht="15" customHeight="1" x14ac:dyDescent="0.25">
      <c r="A73" s="65"/>
      <c r="B73" s="66"/>
      <c r="C73" s="66"/>
      <c r="D73" s="66"/>
      <c r="E73" s="66"/>
      <c r="F73" s="66"/>
      <c r="G73" s="67"/>
      <c r="H73" s="66"/>
      <c r="I73" s="68"/>
      <c r="J73" s="68"/>
      <c r="K73" s="68"/>
      <c r="L73" s="66"/>
      <c r="M73" s="68"/>
      <c r="N73" s="68"/>
      <c r="O73" s="66"/>
      <c r="P73" s="66"/>
      <c r="Q73" s="66"/>
      <c r="R73" s="66"/>
      <c r="S73" s="68"/>
      <c r="T73" s="69" t="str">
        <f t="shared" si="2"/>
        <v/>
      </c>
    </row>
    <row r="74" spans="1:20" ht="15" customHeight="1" x14ac:dyDescent="0.25">
      <c r="A74" s="65"/>
      <c r="B74" s="66"/>
      <c r="C74" s="66"/>
      <c r="D74" s="66"/>
      <c r="E74" s="66"/>
      <c r="F74" s="66"/>
      <c r="G74" s="67"/>
      <c r="H74" s="66"/>
      <c r="I74" s="68"/>
      <c r="J74" s="68"/>
      <c r="K74" s="68"/>
      <c r="L74" s="66"/>
      <c r="M74" s="68"/>
      <c r="N74" s="68"/>
      <c r="O74" s="66"/>
      <c r="P74" s="66"/>
      <c r="Q74" s="66"/>
      <c r="R74" s="66"/>
      <c r="S74" s="68"/>
      <c r="T74" s="69" t="str">
        <f t="shared" si="2"/>
        <v/>
      </c>
    </row>
    <row r="75" spans="1:20" ht="15" customHeight="1" x14ac:dyDescent="0.25">
      <c r="A75" s="65"/>
      <c r="B75" s="66"/>
      <c r="C75" s="66"/>
      <c r="D75" s="66"/>
      <c r="E75" s="66"/>
      <c r="F75" s="66"/>
      <c r="G75" s="67"/>
      <c r="H75" s="66"/>
      <c r="I75" s="68"/>
      <c r="J75" s="68"/>
      <c r="K75" s="68"/>
      <c r="L75" s="66"/>
      <c r="M75" s="68"/>
      <c r="N75" s="68"/>
      <c r="O75" s="66"/>
      <c r="P75" s="66"/>
      <c r="Q75" s="66"/>
      <c r="R75" s="66"/>
      <c r="S75" s="68"/>
      <c r="T75" s="69" t="str">
        <f t="shared" si="2"/>
        <v/>
      </c>
    </row>
    <row r="76" spans="1:20" ht="15" customHeight="1" x14ac:dyDescent="0.25">
      <c r="A76" s="65"/>
      <c r="B76" s="66"/>
      <c r="C76" s="66"/>
      <c r="D76" s="66"/>
      <c r="E76" s="66"/>
      <c r="F76" s="66"/>
      <c r="G76" s="67"/>
      <c r="H76" s="66"/>
      <c r="I76" s="68"/>
      <c r="J76" s="68"/>
      <c r="K76" s="68"/>
      <c r="L76" s="66"/>
      <c r="M76" s="68"/>
      <c r="N76" s="68"/>
      <c r="O76" s="66"/>
      <c r="P76" s="66"/>
      <c r="Q76" s="66"/>
      <c r="R76" s="66"/>
      <c r="S76" s="68"/>
      <c r="T76" s="69" t="str">
        <f t="shared" si="2"/>
        <v/>
      </c>
    </row>
    <row r="77" spans="1:20" ht="15" customHeight="1" x14ac:dyDescent="0.25">
      <c r="A77" s="65"/>
      <c r="B77" s="66"/>
      <c r="C77" s="66"/>
      <c r="D77" s="66"/>
      <c r="E77" s="66"/>
      <c r="F77" s="66"/>
      <c r="G77" s="67"/>
      <c r="H77" s="66"/>
      <c r="I77" s="68"/>
      <c r="J77" s="68"/>
      <c r="K77" s="68"/>
      <c r="L77" s="66"/>
      <c r="M77" s="68"/>
      <c r="N77" s="68"/>
      <c r="O77" s="66"/>
      <c r="P77" s="66"/>
      <c r="Q77" s="66"/>
      <c r="R77" s="66"/>
      <c r="S77" s="68"/>
      <c r="T77" s="69" t="str">
        <f t="shared" si="2"/>
        <v/>
      </c>
    </row>
    <row r="78" spans="1:20" ht="15" customHeight="1" x14ac:dyDescent="0.25">
      <c r="A78" s="65"/>
      <c r="B78" s="66"/>
      <c r="C78" s="66"/>
      <c r="D78" s="66"/>
      <c r="E78" s="66"/>
      <c r="F78" s="66"/>
      <c r="G78" s="67"/>
      <c r="H78" s="66"/>
      <c r="I78" s="68"/>
      <c r="J78" s="68"/>
      <c r="K78" s="68"/>
      <c r="L78" s="66"/>
      <c r="M78" s="68"/>
      <c r="N78" s="68"/>
      <c r="O78" s="66"/>
      <c r="P78" s="66"/>
      <c r="Q78" s="66"/>
      <c r="R78" s="66"/>
      <c r="S78" s="68"/>
      <c r="T78" s="69" t="str">
        <f t="shared" si="2"/>
        <v/>
      </c>
    </row>
    <row r="79" spans="1:20" ht="15" customHeight="1" x14ac:dyDescent="0.25">
      <c r="A79" s="65"/>
      <c r="B79" s="66"/>
      <c r="C79" s="66"/>
      <c r="D79" s="66"/>
      <c r="E79" s="66"/>
      <c r="F79" s="66"/>
      <c r="G79" s="67"/>
      <c r="H79" s="66"/>
      <c r="I79" s="68"/>
      <c r="J79" s="68"/>
      <c r="K79" s="68"/>
      <c r="L79" s="66"/>
      <c r="M79" s="68"/>
      <c r="N79" s="68"/>
      <c r="O79" s="66"/>
      <c r="P79" s="66"/>
      <c r="Q79" s="66"/>
      <c r="R79" s="66"/>
      <c r="S79" s="68"/>
      <c r="T79" s="69" t="str">
        <f t="shared" si="2"/>
        <v/>
      </c>
    </row>
    <row r="80" spans="1:20" ht="15" customHeight="1" x14ac:dyDescent="0.25">
      <c r="A80" s="65"/>
      <c r="B80" s="66"/>
      <c r="C80" s="66"/>
      <c r="D80" s="66"/>
      <c r="E80" s="66"/>
      <c r="F80" s="66"/>
      <c r="G80" s="67"/>
      <c r="H80" s="66"/>
      <c r="I80" s="68"/>
      <c r="J80" s="68"/>
      <c r="K80" s="68"/>
      <c r="L80" s="66"/>
      <c r="M80" s="68"/>
      <c r="N80" s="68"/>
      <c r="O80" s="66"/>
      <c r="P80" s="66"/>
      <c r="Q80" s="66"/>
      <c r="R80" s="66"/>
      <c r="S80" s="68"/>
      <c r="T80" s="69" t="str">
        <f t="shared" si="2"/>
        <v/>
      </c>
    </row>
    <row r="81" spans="1:20" ht="15" customHeight="1" x14ac:dyDescent="0.25">
      <c r="A81" s="65"/>
      <c r="B81" s="66"/>
      <c r="C81" s="66"/>
      <c r="D81" s="66"/>
      <c r="E81" s="66"/>
      <c r="F81" s="66"/>
      <c r="G81" s="67"/>
      <c r="H81" s="66"/>
      <c r="I81" s="68"/>
      <c r="J81" s="68"/>
      <c r="K81" s="68"/>
      <c r="L81" s="66"/>
      <c r="M81" s="68"/>
      <c r="N81" s="68"/>
      <c r="O81" s="66"/>
      <c r="P81" s="66"/>
      <c r="Q81" s="66"/>
      <c r="R81" s="66"/>
      <c r="S81" s="68"/>
      <c r="T81" s="69" t="str">
        <f t="shared" si="2"/>
        <v/>
      </c>
    </row>
    <row r="82" spans="1:20" ht="15" customHeight="1" x14ac:dyDescent="0.25">
      <c r="A82" s="65"/>
      <c r="B82" s="66"/>
      <c r="C82" s="66"/>
      <c r="D82" s="66"/>
      <c r="E82" s="66"/>
      <c r="F82" s="66"/>
      <c r="G82" s="67"/>
      <c r="H82" s="66"/>
      <c r="I82" s="68"/>
      <c r="J82" s="68"/>
      <c r="K82" s="68"/>
      <c r="L82" s="66"/>
      <c r="M82" s="68"/>
      <c r="N82" s="68"/>
      <c r="O82" s="66"/>
      <c r="P82" s="66"/>
      <c r="Q82" s="66"/>
      <c r="R82" s="66"/>
      <c r="S82" s="68"/>
      <c r="T82" s="69" t="str">
        <f t="shared" si="2"/>
        <v/>
      </c>
    </row>
    <row r="83" spans="1:20" ht="15" customHeight="1" x14ac:dyDescent="0.25">
      <c r="A83" s="65"/>
      <c r="B83" s="66"/>
      <c r="C83" s="66"/>
      <c r="D83" s="66"/>
      <c r="E83" s="66"/>
      <c r="F83" s="66"/>
      <c r="G83" s="67"/>
      <c r="H83" s="66"/>
      <c r="I83" s="68"/>
      <c r="J83" s="68"/>
      <c r="K83" s="68"/>
      <c r="L83" s="66"/>
      <c r="M83" s="68"/>
      <c r="N83" s="68"/>
      <c r="O83" s="66"/>
      <c r="P83" s="66"/>
      <c r="Q83" s="66"/>
      <c r="R83" s="66"/>
      <c r="S83" s="68"/>
      <c r="T83" s="69" t="str">
        <f t="shared" si="2"/>
        <v/>
      </c>
    </row>
    <row r="84" spans="1:20" ht="15" customHeight="1" x14ac:dyDescent="0.25">
      <c r="A84" s="65"/>
      <c r="B84" s="66"/>
      <c r="C84" s="66"/>
      <c r="D84" s="66"/>
      <c r="E84" s="66"/>
      <c r="F84" s="66"/>
      <c r="G84" s="67"/>
      <c r="H84" s="66"/>
      <c r="I84" s="68"/>
      <c r="J84" s="68"/>
      <c r="K84" s="68"/>
      <c r="L84" s="66"/>
      <c r="M84" s="68"/>
      <c r="N84" s="68"/>
      <c r="O84" s="66"/>
      <c r="P84" s="66"/>
      <c r="Q84" s="66"/>
      <c r="R84" s="66"/>
      <c r="S84" s="68"/>
      <c r="T84" s="69" t="str">
        <f t="shared" si="2"/>
        <v/>
      </c>
    </row>
    <row r="85" spans="1:20" ht="15" customHeight="1" x14ac:dyDescent="0.25">
      <c r="A85" s="65"/>
      <c r="B85" s="66"/>
      <c r="C85" s="66"/>
      <c r="D85" s="66"/>
      <c r="E85" s="66"/>
      <c r="F85" s="66"/>
      <c r="G85" s="67"/>
      <c r="H85" s="66"/>
      <c r="I85" s="68"/>
      <c r="J85" s="68"/>
      <c r="K85" s="68"/>
      <c r="L85" s="66"/>
      <c r="M85" s="68"/>
      <c r="N85" s="68"/>
      <c r="O85" s="66"/>
      <c r="P85" s="66"/>
      <c r="Q85" s="66"/>
      <c r="R85" s="66"/>
      <c r="S85" s="68"/>
      <c r="T85" s="69" t="str">
        <f t="shared" si="2"/>
        <v/>
      </c>
    </row>
    <row r="86" spans="1:20" ht="15" customHeight="1" x14ac:dyDescent="0.25">
      <c r="A86" s="65"/>
      <c r="B86" s="66"/>
      <c r="C86" s="66"/>
      <c r="D86" s="66"/>
      <c r="E86" s="66"/>
      <c r="F86" s="66"/>
      <c r="G86" s="67"/>
      <c r="H86" s="66"/>
      <c r="I86" s="68"/>
      <c r="J86" s="68"/>
      <c r="K86" s="68"/>
      <c r="L86" s="66"/>
      <c r="M86" s="68"/>
      <c r="N86" s="68"/>
      <c r="O86" s="66"/>
      <c r="P86" s="66"/>
      <c r="Q86" s="66"/>
      <c r="R86" s="66"/>
      <c r="S86" s="68"/>
      <c r="T86" s="69" t="str">
        <f t="shared" si="2"/>
        <v/>
      </c>
    </row>
    <row r="87" spans="1:20" ht="15" customHeight="1" x14ac:dyDescent="0.25">
      <c r="A87" s="65"/>
      <c r="B87" s="66"/>
      <c r="C87" s="66"/>
      <c r="D87" s="66"/>
      <c r="E87" s="66"/>
      <c r="F87" s="66"/>
      <c r="G87" s="67"/>
      <c r="H87" s="66"/>
      <c r="I87" s="68"/>
      <c r="J87" s="68"/>
      <c r="K87" s="68"/>
      <c r="L87" s="66"/>
      <c r="M87" s="68"/>
      <c r="N87" s="68"/>
      <c r="O87" s="66"/>
      <c r="P87" s="66"/>
      <c r="Q87" s="66"/>
      <c r="R87" s="66"/>
      <c r="S87" s="68"/>
      <c r="T87" s="69" t="str">
        <f t="shared" si="2"/>
        <v/>
      </c>
    </row>
    <row r="88" spans="1:20" ht="15" customHeight="1" x14ac:dyDescent="0.25">
      <c r="A88" s="65"/>
      <c r="B88" s="66"/>
      <c r="C88" s="66"/>
      <c r="D88" s="66"/>
      <c r="E88" s="66"/>
      <c r="F88" s="66"/>
      <c r="G88" s="67"/>
      <c r="H88" s="66"/>
      <c r="I88" s="68"/>
      <c r="J88" s="68"/>
      <c r="K88" s="68"/>
      <c r="L88" s="66"/>
      <c r="M88" s="68"/>
      <c r="N88" s="68"/>
      <c r="O88" s="66"/>
      <c r="P88" s="66"/>
      <c r="Q88" s="66"/>
      <c r="R88" s="66"/>
      <c r="S88" s="68"/>
      <c r="T88" s="69" t="str">
        <f t="shared" si="2"/>
        <v/>
      </c>
    </row>
    <row r="89" spans="1:20" ht="15" customHeight="1" x14ac:dyDescent="0.25">
      <c r="A89" s="65"/>
      <c r="B89" s="66"/>
      <c r="C89" s="66"/>
      <c r="D89" s="66"/>
      <c r="E89" s="66"/>
      <c r="F89" s="66"/>
      <c r="G89" s="67"/>
      <c r="H89" s="66"/>
      <c r="I89" s="68"/>
      <c r="J89" s="68"/>
      <c r="K89" s="68"/>
      <c r="L89" s="66"/>
      <c r="M89" s="68"/>
      <c r="N89" s="68"/>
      <c r="O89" s="66"/>
      <c r="P89" s="66"/>
      <c r="Q89" s="66"/>
      <c r="R89" s="66"/>
      <c r="S89" s="68"/>
      <c r="T89" s="69" t="str">
        <f t="shared" si="2"/>
        <v/>
      </c>
    </row>
    <row r="90" spans="1:20" ht="15" customHeight="1" x14ac:dyDescent="0.25">
      <c r="A90" s="65"/>
      <c r="B90" s="66"/>
      <c r="C90" s="66"/>
      <c r="D90" s="66"/>
      <c r="E90" s="66"/>
      <c r="F90" s="66"/>
      <c r="G90" s="67"/>
      <c r="H90" s="66"/>
      <c r="I90" s="68"/>
      <c r="J90" s="68"/>
      <c r="K90" s="68"/>
      <c r="L90" s="66"/>
      <c r="M90" s="68"/>
      <c r="N90" s="68"/>
      <c r="O90" s="66"/>
      <c r="P90" s="66"/>
      <c r="Q90" s="66"/>
      <c r="R90" s="66"/>
      <c r="S90" s="68"/>
      <c r="T90" s="69" t="str">
        <f t="shared" si="2"/>
        <v/>
      </c>
    </row>
    <row r="91" spans="1:20" ht="15" customHeight="1" x14ac:dyDescent="0.25">
      <c r="A91" s="65"/>
      <c r="B91" s="66"/>
      <c r="C91" s="66"/>
      <c r="D91" s="66"/>
      <c r="E91" s="66"/>
      <c r="F91" s="66"/>
      <c r="G91" s="67"/>
      <c r="H91" s="66"/>
      <c r="I91" s="68"/>
      <c r="J91" s="68"/>
      <c r="K91" s="68"/>
      <c r="L91" s="66"/>
      <c r="M91" s="68"/>
      <c r="N91" s="68"/>
      <c r="O91" s="66"/>
      <c r="P91" s="66"/>
      <c r="Q91" s="66"/>
      <c r="R91" s="66"/>
      <c r="S91" s="68"/>
      <c r="T91" s="69" t="str">
        <f t="shared" si="2"/>
        <v/>
      </c>
    </row>
    <row r="92" spans="1:20" ht="15" customHeight="1" x14ac:dyDescent="0.25">
      <c r="A92" s="65"/>
      <c r="B92" s="66"/>
      <c r="C92" s="66"/>
      <c r="D92" s="66"/>
      <c r="E92" s="66"/>
      <c r="F92" s="66"/>
      <c r="G92" s="67"/>
      <c r="H92" s="66"/>
      <c r="I92" s="68"/>
      <c r="J92" s="68"/>
      <c r="K92" s="68"/>
      <c r="L92" s="66"/>
      <c r="M92" s="68"/>
      <c r="N92" s="68"/>
      <c r="O92" s="66"/>
      <c r="P92" s="66"/>
      <c r="Q92" s="66"/>
      <c r="R92" s="66"/>
      <c r="S92" s="68"/>
      <c r="T92" s="69" t="str">
        <f t="shared" si="2"/>
        <v/>
      </c>
    </row>
    <row r="93" spans="1:20" ht="15" customHeight="1" x14ac:dyDescent="0.25">
      <c r="A93" s="65"/>
      <c r="B93" s="66"/>
      <c r="C93" s="66"/>
      <c r="D93" s="66"/>
      <c r="E93" s="66"/>
      <c r="F93" s="66"/>
      <c r="G93" s="67"/>
      <c r="H93" s="66"/>
      <c r="I93" s="68"/>
      <c r="J93" s="68"/>
      <c r="K93" s="68"/>
      <c r="L93" s="66"/>
      <c r="M93" s="68"/>
      <c r="N93" s="68"/>
      <c r="O93" s="66"/>
      <c r="P93" s="66"/>
      <c r="Q93" s="66"/>
      <c r="R93" s="66"/>
      <c r="S93" s="68"/>
      <c r="T93" s="69" t="str">
        <f t="shared" si="2"/>
        <v/>
      </c>
    </row>
    <row r="94" spans="1:20" ht="15" customHeight="1" x14ac:dyDescent="0.25">
      <c r="A94" s="65"/>
      <c r="B94" s="66"/>
      <c r="C94" s="66"/>
      <c r="D94" s="66"/>
      <c r="E94" s="66"/>
      <c r="F94" s="66"/>
      <c r="G94" s="67"/>
      <c r="H94" s="66"/>
      <c r="I94" s="68"/>
      <c r="J94" s="68"/>
      <c r="K94" s="68"/>
      <c r="L94" s="66"/>
      <c r="M94" s="68"/>
      <c r="N94" s="68"/>
      <c r="O94" s="66"/>
      <c r="P94" s="66"/>
      <c r="Q94" s="66"/>
      <c r="R94" s="66"/>
      <c r="S94" s="68"/>
      <c r="T94" s="69" t="str">
        <f t="shared" si="2"/>
        <v/>
      </c>
    </row>
    <row r="95" spans="1:20" ht="15" customHeight="1" x14ac:dyDescent="0.25">
      <c r="A95" s="65"/>
      <c r="B95" s="66"/>
      <c r="C95" s="66"/>
      <c r="D95" s="66"/>
      <c r="E95" s="66"/>
      <c r="F95" s="66"/>
      <c r="G95" s="67"/>
      <c r="H95" s="66"/>
      <c r="I95" s="68"/>
      <c r="J95" s="68"/>
      <c r="K95" s="68"/>
      <c r="L95" s="66"/>
      <c r="M95" s="68"/>
      <c r="N95" s="68"/>
      <c r="O95" s="66"/>
      <c r="P95" s="66"/>
      <c r="Q95" s="66"/>
      <c r="R95" s="66"/>
      <c r="S95" s="68"/>
      <c r="T95" s="69" t="str">
        <f t="shared" si="2"/>
        <v/>
      </c>
    </row>
    <row r="96" spans="1:20" ht="15" customHeight="1" x14ac:dyDescent="0.25">
      <c r="A96" s="65"/>
      <c r="B96" s="66"/>
      <c r="C96" s="66"/>
      <c r="D96" s="66"/>
      <c r="E96" s="66"/>
      <c r="F96" s="66"/>
      <c r="G96" s="67"/>
      <c r="H96" s="66"/>
      <c r="I96" s="68"/>
      <c r="J96" s="68"/>
      <c r="K96" s="68"/>
      <c r="L96" s="66"/>
      <c r="M96" s="68"/>
      <c r="N96" s="68"/>
      <c r="O96" s="66"/>
      <c r="P96" s="66"/>
      <c r="Q96" s="66"/>
      <c r="R96" s="66"/>
      <c r="S96" s="68"/>
      <c r="T96" s="69" t="str">
        <f t="shared" si="2"/>
        <v/>
      </c>
    </row>
    <row r="97" spans="1:20" ht="15" customHeight="1" x14ac:dyDescent="0.25">
      <c r="A97" s="65"/>
      <c r="B97" s="66"/>
      <c r="C97" s="66"/>
      <c r="D97" s="66"/>
      <c r="E97" s="66"/>
      <c r="F97" s="66"/>
      <c r="G97" s="67"/>
      <c r="H97" s="66"/>
      <c r="I97" s="68"/>
      <c r="J97" s="68"/>
      <c r="K97" s="68"/>
      <c r="L97" s="66"/>
      <c r="M97" s="68"/>
      <c r="N97" s="68"/>
      <c r="O97" s="66"/>
      <c r="P97" s="66"/>
      <c r="Q97" s="66"/>
      <c r="R97" s="66"/>
      <c r="S97" s="68"/>
      <c r="T97" s="69" t="str">
        <f t="shared" si="2"/>
        <v/>
      </c>
    </row>
    <row r="98" spans="1:20" ht="15" customHeight="1" x14ac:dyDescent="0.25">
      <c r="A98" s="65"/>
      <c r="B98" s="66"/>
      <c r="C98" s="66"/>
      <c r="D98" s="66"/>
      <c r="E98" s="66"/>
      <c r="F98" s="66"/>
      <c r="G98" s="67"/>
      <c r="H98" s="66"/>
      <c r="I98" s="68"/>
      <c r="J98" s="68"/>
      <c r="K98" s="68"/>
      <c r="L98" s="66"/>
      <c r="M98" s="68"/>
      <c r="N98" s="68"/>
      <c r="O98" s="66"/>
      <c r="P98" s="66"/>
      <c r="Q98" s="66"/>
      <c r="R98" s="66"/>
      <c r="S98" s="68"/>
      <c r="T98" s="69" t="str">
        <f t="shared" si="2"/>
        <v/>
      </c>
    </row>
    <row r="99" spans="1:20" ht="15" customHeight="1" x14ac:dyDescent="0.25">
      <c r="A99" s="65"/>
      <c r="B99" s="66"/>
      <c r="C99" s="66"/>
      <c r="D99" s="66"/>
      <c r="E99" s="66"/>
      <c r="F99" s="66"/>
      <c r="G99" s="67"/>
      <c r="H99" s="66"/>
      <c r="I99" s="68"/>
      <c r="J99" s="68"/>
      <c r="K99" s="68"/>
      <c r="L99" s="66"/>
      <c r="M99" s="68"/>
      <c r="N99" s="68"/>
      <c r="O99" s="66"/>
      <c r="P99" s="66"/>
      <c r="Q99" s="66"/>
      <c r="R99" s="66"/>
      <c r="S99" s="68"/>
      <c r="T99" s="69" t="str">
        <f t="shared" si="2"/>
        <v/>
      </c>
    </row>
    <row r="100" spans="1:20" ht="15" customHeight="1" x14ac:dyDescent="0.25">
      <c r="A100" s="65"/>
      <c r="B100" s="66"/>
      <c r="C100" s="66"/>
      <c r="D100" s="66"/>
      <c r="E100" s="66"/>
      <c r="F100" s="66"/>
      <c r="G100" s="67"/>
      <c r="H100" s="66"/>
      <c r="I100" s="68"/>
      <c r="J100" s="68"/>
      <c r="K100" s="68"/>
      <c r="L100" s="66"/>
      <c r="M100" s="68"/>
      <c r="N100" s="68"/>
      <c r="O100" s="66"/>
      <c r="P100" s="66"/>
      <c r="Q100" s="66"/>
      <c r="R100" s="66"/>
      <c r="S100" s="68"/>
      <c r="T100" s="69" t="str">
        <f t="shared" si="2"/>
        <v/>
      </c>
    </row>
    <row r="101" spans="1:20" ht="15" customHeight="1" x14ac:dyDescent="0.25">
      <c r="A101" s="65"/>
      <c r="B101" s="66"/>
      <c r="C101" s="66"/>
      <c r="D101" s="66"/>
      <c r="E101" s="66"/>
      <c r="F101" s="66"/>
      <c r="G101" s="67"/>
      <c r="H101" s="66"/>
      <c r="I101" s="68"/>
      <c r="J101" s="68"/>
      <c r="K101" s="68"/>
      <c r="L101" s="66"/>
      <c r="M101" s="68"/>
      <c r="N101" s="68"/>
      <c r="O101" s="66"/>
      <c r="P101" s="66"/>
      <c r="Q101" s="66"/>
      <c r="R101" s="66"/>
      <c r="S101" s="68"/>
      <c r="T101" s="69" t="str">
        <f t="shared" ref="T101:T132" si="3">IF($G101="","",$G101+ROW()/100000)</f>
        <v/>
      </c>
    </row>
    <row r="102" spans="1:20" ht="15" customHeight="1" x14ac:dyDescent="0.25">
      <c r="A102" s="65"/>
      <c r="B102" s="66"/>
      <c r="C102" s="66"/>
      <c r="D102" s="66"/>
      <c r="E102" s="66"/>
      <c r="F102" s="66"/>
      <c r="G102" s="67"/>
      <c r="H102" s="66"/>
      <c r="I102" s="68"/>
      <c r="J102" s="68"/>
      <c r="K102" s="68"/>
      <c r="L102" s="66"/>
      <c r="M102" s="68"/>
      <c r="N102" s="68"/>
      <c r="O102" s="66"/>
      <c r="P102" s="66"/>
      <c r="Q102" s="66"/>
      <c r="R102" s="66"/>
      <c r="S102" s="68"/>
      <c r="T102" s="69" t="str">
        <f t="shared" si="3"/>
        <v/>
      </c>
    </row>
    <row r="103" spans="1:20" ht="15" customHeight="1" x14ac:dyDescent="0.25">
      <c r="A103" s="65"/>
      <c r="B103" s="66"/>
      <c r="C103" s="66"/>
      <c r="D103" s="66"/>
      <c r="E103" s="66"/>
      <c r="F103" s="66"/>
      <c r="G103" s="67"/>
      <c r="H103" s="66"/>
      <c r="I103" s="68"/>
      <c r="J103" s="68"/>
      <c r="K103" s="68"/>
      <c r="L103" s="66"/>
      <c r="M103" s="68"/>
      <c r="N103" s="68"/>
      <c r="O103" s="66"/>
      <c r="P103" s="66"/>
      <c r="Q103" s="66"/>
      <c r="R103" s="66"/>
      <c r="S103" s="68"/>
      <c r="T103" s="69" t="str">
        <f t="shared" si="3"/>
        <v/>
      </c>
    </row>
    <row r="104" spans="1:20" ht="15" customHeight="1" x14ac:dyDescent="0.25">
      <c r="A104" s="65"/>
      <c r="B104" s="66"/>
      <c r="C104" s="66"/>
      <c r="D104" s="66"/>
      <c r="E104" s="66"/>
      <c r="F104" s="66"/>
      <c r="G104" s="67"/>
      <c r="H104" s="66"/>
      <c r="I104" s="68"/>
      <c r="J104" s="68"/>
      <c r="K104" s="68"/>
      <c r="L104" s="66"/>
      <c r="M104" s="68"/>
      <c r="N104" s="68"/>
      <c r="O104" s="66"/>
      <c r="P104" s="66"/>
      <c r="Q104" s="66"/>
      <c r="R104" s="66"/>
      <c r="S104" s="68"/>
      <c r="T104" s="69" t="str">
        <f t="shared" si="3"/>
        <v/>
      </c>
    </row>
    <row r="105" spans="1:20" ht="15" customHeight="1" x14ac:dyDescent="0.25">
      <c r="A105" s="65"/>
      <c r="B105" s="66"/>
      <c r="C105" s="66"/>
      <c r="D105" s="66"/>
      <c r="E105" s="66"/>
      <c r="F105" s="66"/>
      <c r="G105" s="67"/>
      <c r="H105" s="66"/>
      <c r="I105" s="68"/>
      <c r="J105" s="68"/>
      <c r="K105" s="68"/>
      <c r="L105" s="66"/>
      <c r="M105" s="68"/>
      <c r="N105" s="68"/>
      <c r="O105" s="66"/>
      <c r="P105" s="66"/>
      <c r="Q105" s="66"/>
      <c r="R105" s="66"/>
      <c r="S105" s="68"/>
      <c r="T105" s="69" t="str">
        <f t="shared" si="3"/>
        <v/>
      </c>
    </row>
    <row r="106" spans="1:20" ht="15" customHeight="1" x14ac:dyDescent="0.25">
      <c r="A106" s="65"/>
      <c r="B106" s="66"/>
      <c r="C106" s="66"/>
      <c r="D106" s="66"/>
      <c r="E106" s="66"/>
      <c r="F106" s="66"/>
      <c r="G106" s="67"/>
      <c r="H106" s="66"/>
      <c r="I106" s="68"/>
      <c r="J106" s="68"/>
      <c r="K106" s="68"/>
      <c r="L106" s="66"/>
      <c r="M106" s="68"/>
      <c r="N106" s="68"/>
      <c r="O106" s="66"/>
      <c r="P106" s="66"/>
      <c r="Q106" s="66"/>
      <c r="R106" s="66"/>
      <c r="S106" s="68"/>
      <c r="T106" s="69" t="str">
        <f t="shared" si="3"/>
        <v/>
      </c>
    </row>
    <row r="107" spans="1:20" ht="15" customHeight="1" x14ac:dyDescent="0.25">
      <c r="A107" s="65"/>
      <c r="B107" s="66"/>
      <c r="C107" s="66"/>
      <c r="D107" s="66"/>
      <c r="E107" s="66"/>
      <c r="F107" s="66"/>
      <c r="G107" s="67"/>
      <c r="H107" s="66"/>
      <c r="I107" s="68"/>
      <c r="J107" s="68"/>
      <c r="K107" s="68"/>
      <c r="L107" s="66"/>
      <c r="M107" s="68"/>
      <c r="N107" s="68"/>
      <c r="O107" s="66"/>
      <c r="P107" s="66"/>
      <c r="Q107" s="66"/>
      <c r="R107" s="66"/>
      <c r="S107" s="68"/>
      <c r="T107" s="69" t="str">
        <f t="shared" si="3"/>
        <v/>
      </c>
    </row>
    <row r="108" spans="1:20" ht="15" customHeight="1" x14ac:dyDescent="0.25">
      <c r="A108" s="65"/>
      <c r="B108" s="66"/>
      <c r="C108" s="66"/>
      <c r="D108" s="66"/>
      <c r="E108" s="66"/>
      <c r="F108" s="66"/>
      <c r="G108" s="67"/>
      <c r="H108" s="66"/>
      <c r="I108" s="68"/>
      <c r="J108" s="68"/>
      <c r="K108" s="68"/>
      <c r="L108" s="66"/>
      <c r="M108" s="68"/>
      <c r="N108" s="68"/>
      <c r="O108" s="66"/>
      <c r="P108" s="66"/>
      <c r="Q108" s="66"/>
      <c r="R108" s="66"/>
      <c r="S108" s="68"/>
      <c r="T108" s="69" t="str">
        <f t="shared" si="3"/>
        <v/>
      </c>
    </row>
    <row r="109" spans="1:20" ht="15" customHeight="1" x14ac:dyDescent="0.25">
      <c r="A109" s="65"/>
      <c r="B109" s="66"/>
      <c r="C109" s="66"/>
      <c r="D109" s="66"/>
      <c r="E109" s="66"/>
      <c r="F109" s="66"/>
      <c r="G109" s="67"/>
      <c r="H109" s="66"/>
      <c r="I109" s="68"/>
      <c r="J109" s="68"/>
      <c r="K109" s="68"/>
      <c r="L109" s="66"/>
      <c r="M109" s="68"/>
      <c r="N109" s="68"/>
      <c r="O109" s="66"/>
      <c r="P109" s="66"/>
      <c r="Q109" s="66"/>
      <c r="R109" s="66"/>
      <c r="S109" s="68"/>
      <c r="T109" s="69" t="str">
        <f t="shared" si="3"/>
        <v/>
      </c>
    </row>
    <row r="110" spans="1:20" ht="15" customHeight="1" x14ac:dyDescent="0.25">
      <c r="A110" s="65"/>
      <c r="B110" s="66"/>
      <c r="C110" s="66"/>
      <c r="D110" s="66"/>
      <c r="E110" s="66"/>
      <c r="F110" s="66"/>
      <c r="G110" s="67"/>
      <c r="H110" s="66"/>
      <c r="I110" s="68"/>
      <c r="J110" s="68"/>
      <c r="K110" s="68"/>
      <c r="L110" s="66"/>
      <c r="M110" s="68"/>
      <c r="N110" s="68"/>
      <c r="O110" s="66"/>
      <c r="P110" s="66"/>
      <c r="Q110" s="66"/>
      <c r="R110" s="66"/>
      <c r="S110" s="68"/>
      <c r="T110" s="69" t="str">
        <f t="shared" si="3"/>
        <v/>
      </c>
    </row>
    <row r="111" spans="1:20" ht="15" customHeight="1" x14ac:dyDescent="0.25">
      <c r="A111" s="65"/>
      <c r="B111" s="66"/>
      <c r="C111" s="66"/>
      <c r="D111" s="66"/>
      <c r="E111" s="66"/>
      <c r="F111" s="66"/>
      <c r="G111" s="67"/>
      <c r="H111" s="66"/>
      <c r="I111" s="68"/>
      <c r="J111" s="68"/>
      <c r="K111" s="68"/>
      <c r="L111" s="66"/>
      <c r="M111" s="68"/>
      <c r="N111" s="68"/>
      <c r="O111" s="66"/>
      <c r="P111" s="66"/>
      <c r="Q111" s="66"/>
      <c r="R111" s="66"/>
      <c r="S111" s="68"/>
      <c r="T111" s="69" t="str">
        <f t="shared" si="3"/>
        <v/>
      </c>
    </row>
    <row r="112" spans="1:20" ht="15" customHeight="1" x14ac:dyDescent="0.25">
      <c r="A112" s="65"/>
      <c r="B112" s="66"/>
      <c r="C112" s="66"/>
      <c r="D112" s="66"/>
      <c r="E112" s="66"/>
      <c r="F112" s="66"/>
      <c r="G112" s="67"/>
      <c r="H112" s="66"/>
      <c r="I112" s="68"/>
      <c r="J112" s="68"/>
      <c r="K112" s="68"/>
      <c r="L112" s="66"/>
      <c r="M112" s="68"/>
      <c r="N112" s="68"/>
      <c r="O112" s="66"/>
      <c r="P112" s="66"/>
      <c r="Q112" s="66"/>
      <c r="R112" s="66"/>
      <c r="S112" s="68"/>
      <c r="T112" s="69" t="str">
        <f t="shared" si="3"/>
        <v/>
      </c>
    </row>
    <row r="113" spans="1:20" ht="15" customHeight="1" x14ac:dyDescent="0.25">
      <c r="A113" s="65"/>
      <c r="B113" s="66"/>
      <c r="C113" s="66"/>
      <c r="D113" s="66"/>
      <c r="E113" s="66"/>
      <c r="F113" s="66"/>
      <c r="G113" s="67"/>
      <c r="H113" s="66"/>
      <c r="I113" s="68"/>
      <c r="J113" s="68"/>
      <c r="K113" s="68"/>
      <c r="L113" s="66"/>
      <c r="M113" s="68"/>
      <c r="N113" s="68"/>
      <c r="O113" s="66"/>
      <c r="P113" s="66"/>
      <c r="Q113" s="66"/>
      <c r="R113" s="66"/>
      <c r="S113" s="68"/>
      <c r="T113" s="69" t="str">
        <f t="shared" si="3"/>
        <v/>
      </c>
    </row>
    <row r="114" spans="1:20" ht="15" customHeight="1" x14ac:dyDescent="0.25">
      <c r="A114" s="65"/>
      <c r="B114" s="66"/>
      <c r="C114" s="66"/>
      <c r="D114" s="66"/>
      <c r="E114" s="66"/>
      <c r="F114" s="66"/>
      <c r="G114" s="67"/>
      <c r="H114" s="66"/>
      <c r="I114" s="68"/>
      <c r="J114" s="68"/>
      <c r="K114" s="68"/>
      <c r="L114" s="66"/>
      <c r="M114" s="68"/>
      <c r="N114" s="68"/>
      <c r="O114" s="66"/>
      <c r="P114" s="66"/>
      <c r="Q114" s="66"/>
      <c r="R114" s="66"/>
      <c r="S114" s="68"/>
      <c r="T114" s="69" t="str">
        <f t="shared" si="3"/>
        <v/>
      </c>
    </row>
    <row r="115" spans="1:20" ht="15" customHeight="1" x14ac:dyDescent="0.25">
      <c r="A115" s="65"/>
      <c r="B115" s="66"/>
      <c r="C115" s="66"/>
      <c r="D115" s="66"/>
      <c r="E115" s="66"/>
      <c r="F115" s="66"/>
      <c r="G115" s="67"/>
      <c r="H115" s="66"/>
      <c r="I115" s="68"/>
      <c r="J115" s="68"/>
      <c r="K115" s="68"/>
      <c r="L115" s="66"/>
      <c r="M115" s="68"/>
      <c r="N115" s="68"/>
      <c r="O115" s="66"/>
      <c r="P115" s="66"/>
      <c r="Q115" s="66"/>
      <c r="R115" s="66"/>
      <c r="S115" s="68"/>
      <c r="T115" s="69" t="str">
        <f t="shared" si="3"/>
        <v/>
      </c>
    </row>
    <row r="116" spans="1:20" ht="15" customHeight="1" x14ac:dyDescent="0.25">
      <c r="A116" s="65"/>
      <c r="B116" s="66"/>
      <c r="C116" s="66"/>
      <c r="D116" s="66"/>
      <c r="E116" s="66"/>
      <c r="F116" s="66"/>
      <c r="G116" s="67"/>
      <c r="H116" s="66"/>
      <c r="I116" s="68"/>
      <c r="J116" s="68"/>
      <c r="K116" s="68"/>
      <c r="L116" s="66"/>
      <c r="M116" s="68"/>
      <c r="N116" s="68"/>
      <c r="O116" s="66"/>
      <c r="P116" s="66"/>
      <c r="Q116" s="66"/>
      <c r="R116" s="66"/>
      <c r="S116" s="68"/>
      <c r="T116" s="69" t="str">
        <f t="shared" si="3"/>
        <v/>
      </c>
    </row>
    <row r="117" spans="1:20" ht="15" customHeight="1" x14ac:dyDescent="0.25">
      <c r="A117" s="65"/>
      <c r="B117" s="66"/>
      <c r="C117" s="66"/>
      <c r="D117" s="66"/>
      <c r="E117" s="66"/>
      <c r="F117" s="66"/>
      <c r="G117" s="67"/>
      <c r="H117" s="66"/>
      <c r="I117" s="68"/>
      <c r="J117" s="68"/>
      <c r="K117" s="68"/>
      <c r="L117" s="66"/>
      <c r="M117" s="68"/>
      <c r="N117" s="68"/>
      <c r="O117" s="66"/>
      <c r="P117" s="66"/>
      <c r="Q117" s="66"/>
      <c r="R117" s="66"/>
      <c r="S117" s="68"/>
      <c r="T117" s="69" t="str">
        <f t="shared" si="3"/>
        <v/>
      </c>
    </row>
    <row r="118" spans="1:20" ht="15" customHeight="1" x14ac:dyDescent="0.25">
      <c r="A118" s="65"/>
      <c r="B118" s="66"/>
      <c r="C118" s="66"/>
      <c r="D118" s="66"/>
      <c r="E118" s="66"/>
      <c r="F118" s="66"/>
      <c r="G118" s="67"/>
      <c r="H118" s="66"/>
      <c r="I118" s="68"/>
      <c r="J118" s="68"/>
      <c r="K118" s="68"/>
      <c r="L118" s="66"/>
      <c r="M118" s="68"/>
      <c r="N118" s="68"/>
      <c r="O118" s="66"/>
      <c r="P118" s="66"/>
      <c r="Q118" s="66"/>
      <c r="R118" s="66"/>
      <c r="S118" s="68"/>
      <c r="T118" s="69" t="str">
        <f t="shared" si="3"/>
        <v/>
      </c>
    </row>
    <row r="119" spans="1:20" ht="15" customHeight="1" x14ac:dyDescent="0.25">
      <c r="A119" s="65"/>
      <c r="B119" s="66"/>
      <c r="C119" s="66"/>
      <c r="D119" s="66"/>
      <c r="E119" s="66"/>
      <c r="F119" s="66"/>
      <c r="G119" s="67"/>
      <c r="H119" s="66"/>
      <c r="I119" s="68"/>
      <c r="J119" s="68"/>
      <c r="K119" s="68"/>
      <c r="L119" s="66"/>
      <c r="M119" s="68"/>
      <c r="N119" s="68"/>
      <c r="O119" s="66"/>
      <c r="P119" s="66"/>
      <c r="Q119" s="66"/>
      <c r="R119" s="66"/>
      <c r="S119" s="68"/>
      <c r="T119" s="69" t="str">
        <f t="shared" si="3"/>
        <v/>
      </c>
    </row>
    <row r="120" spans="1:20" ht="15" customHeight="1" x14ac:dyDescent="0.25">
      <c r="A120" s="65"/>
      <c r="B120" s="66"/>
      <c r="C120" s="66"/>
      <c r="D120" s="66"/>
      <c r="E120" s="66"/>
      <c r="F120" s="66"/>
      <c r="G120" s="67"/>
      <c r="H120" s="66"/>
      <c r="I120" s="68"/>
      <c r="J120" s="68"/>
      <c r="K120" s="68"/>
      <c r="L120" s="66"/>
      <c r="M120" s="68"/>
      <c r="N120" s="68"/>
      <c r="O120" s="66"/>
      <c r="P120" s="66"/>
      <c r="Q120" s="66"/>
      <c r="R120" s="66"/>
      <c r="S120" s="68"/>
      <c r="T120" s="69" t="str">
        <f t="shared" si="3"/>
        <v/>
      </c>
    </row>
    <row r="121" spans="1:20" ht="15" customHeight="1" x14ac:dyDescent="0.25">
      <c r="A121" s="65"/>
      <c r="B121" s="66"/>
      <c r="C121" s="66"/>
      <c r="D121" s="66"/>
      <c r="E121" s="66"/>
      <c r="F121" s="66"/>
      <c r="G121" s="67"/>
      <c r="H121" s="66"/>
      <c r="I121" s="68"/>
      <c r="J121" s="68"/>
      <c r="K121" s="68"/>
      <c r="L121" s="66"/>
      <c r="M121" s="68"/>
      <c r="N121" s="68"/>
      <c r="O121" s="66"/>
      <c r="P121" s="66"/>
      <c r="Q121" s="66"/>
      <c r="R121" s="66"/>
      <c r="S121" s="68"/>
      <c r="T121" s="69" t="str">
        <f t="shared" si="3"/>
        <v/>
      </c>
    </row>
    <row r="122" spans="1:20" ht="15" customHeight="1" x14ac:dyDescent="0.25">
      <c r="A122" s="65"/>
      <c r="B122" s="66"/>
      <c r="C122" s="66"/>
      <c r="D122" s="66"/>
      <c r="E122" s="66"/>
      <c r="F122" s="66"/>
      <c r="G122" s="67"/>
      <c r="H122" s="66"/>
      <c r="I122" s="68"/>
      <c r="J122" s="68"/>
      <c r="K122" s="68"/>
      <c r="L122" s="66"/>
      <c r="M122" s="68"/>
      <c r="N122" s="68"/>
      <c r="O122" s="66"/>
      <c r="P122" s="66"/>
      <c r="Q122" s="66"/>
      <c r="R122" s="66"/>
      <c r="S122" s="68"/>
      <c r="T122" s="69" t="str">
        <f t="shared" si="3"/>
        <v/>
      </c>
    </row>
    <row r="123" spans="1:20" ht="15" customHeight="1" x14ac:dyDescent="0.25">
      <c r="A123" s="65"/>
      <c r="B123" s="66"/>
      <c r="C123" s="66"/>
      <c r="D123" s="66"/>
      <c r="E123" s="66"/>
      <c r="F123" s="66"/>
      <c r="G123" s="67"/>
      <c r="H123" s="66"/>
      <c r="I123" s="68"/>
      <c r="J123" s="68"/>
      <c r="K123" s="68"/>
      <c r="L123" s="66"/>
      <c r="M123" s="68"/>
      <c r="N123" s="68"/>
      <c r="O123" s="66"/>
      <c r="P123" s="66"/>
      <c r="Q123" s="66"/>
      <c r="R123" s="66"/>
      <c r="S123" s="68"/>
      <c r="T123" s="69" t="str">
        <f t="shared" si="3"/>
        <v/>
      </c>
    </row>
    <row r="124" spans="1:20" ht="15" customHeight="1" x14ac:dyDescent="0.25">
      <c r="A124" s="65"/>
      <c r="B124" s="66"/>
      <c r="C124" s="66"/>
      <c r="D124" s="66"/>
      <c r="E124" s="66"/>
      <c r="F124" s="66"/>
      <c r="G124" s="67"/>
      <c r="H124" s="66"/>
      <c r="I124" s="68"/>
      <c r="J124" s="68"/>
      <c r="K124" s="68"/>
      <c r="L124" s="66"/>
      <c r="M124" s="68"/>
      <c r="N124" s="68"/>
      <c r="O124" s="66"/>
      <c r="P124" s="66"/>
      <c r="Q124" s="66"/>
      <c r="R124" s="66"/>
      <c r="S124" s="68"/>
      <c r="T124" s="69" t="str">
        <f t="shared" si="3"/>
        <v/>
      </c>
    </row>
    <row r="125" spans="1:20" ht="15" customHeight="1" x14ac:dyDescent="0.25">
      <c r="A125" s="65"/>
      <c r="B125" s="66"/>
      <c r="C125" s="66"/>
      <c r="D125" s="66"/>
      <c r="E125" s="66"/>
      <c r="F125" s="66"/>
      <c r="G125" s="67"/>
      <c r="H125" s="66"/>
      <c r="I125" s="68"/>
      <c r="J125" s="68"/>
      <c r="K125" s="68"/>
      <c r="L125" s="66"/>
      <c r="M125" s="68"/>
      <c r="N125" s="68"/>
      <c r="O125" s="66"/>
      <c r="P125" s="66"/>
      <c r="Q125" s="66"/>
      <c r="R125" s="66"/>
      <c r="S125" s="68"/>
      <c r="T125" s="69" t="str">
        <f t="shared" si="3"/>
        <v/>
      </c>
    </row>
    <row r="126" spans="1:20" ht="15" customHeight="1" x14ac:dyDescent="0.25">
      <c r="A126" s="65"/>
      <c r="B126" s="66"/>
      <c r="C126" s="66"/>
      <c r="D126" s="66"/>
      <c r="E126" s="66"/>
      <c r="F126" s="66"/>
      <c r="G126" s="67"/>
      <c r="H126" s="66"/>
      <c r="I126" s="68"/>
      <c r="J126" s="68"/>
      <c r="K126" s="68"/>
      <c r="L126" s="66"/>
      <c r="M126" s="68"/>
      <c r="N126" s="68"/>
      <c r="O126" s="66"/>
      <c r="P126" s="66"/>
      <c r="Q126" s="66"/>
      <c r="R126" s="66"/>
      <c r="S126" s="68"/>
      <c r="T126" s="69" t="str">
        <f t="shared" si="3"/>
        <v/>
      </c>
    </row>
    <row r="127" spans="1:20" ht="15" customHeight="1" x14ac:dyDescent="0.25">
      <c r="A127" s="65"/>
      <c r="B127" s="66"/>
      <c r="C127" s="66"/>
      <c r="D127" s="66"/>
      <c r="E127" s="66"/>
      <c r="F127" s="66"/>
      <c r="G127" s="67"/>
      <c r="H127" s="66"/>
      <c r="I127" s="68"/>
      <c r="J127" s="68"/>
      <c r="K127" s="68"/>
      <c r="L127" s="66"/>
      <c r="M127" s="68"/>
      <c r="N127" s="68"/>
      <c r="O127" s="66"/>
      <c r="P127" s="66"/>
      <c r="Q127" s="66"/>
      <c r="R127" s="66"/>
      <c r="S127" s="68"/>
      <c r="T127" s="69" t="str">
        <f t="shared" si="3"/>
        <v/>
      </c>
    </row>
    <row r="128" spans="1:20" ht="15" customHeight="1" x14ac:dyDescent="0.25">
      <c r="A128" s="65"/>
      <c r="B128" s="66"/>
      <c r="C128" s="66"/>
      <c r="D128" s="66"/>
      <c r="E128" s="66"/>
      <c r="F128" s="66"/>
      <c r="G128" s="67"/>
      <c r="H128" s="66"/>
      <c r="I128" s="68"/>
      <c r="J128" s="68"/>
      <c r="K128" s="68"/>
      <c r="L128" s="66"/>
      <c r="M128" s="68"/>
      <c r="N128" s="68"/>
      <c r="O128" s="66"/>
      <c r="P128" s="66"/>
      <c r="Q128" s="66"/>
      <c r="R128" s="66"/>
      <c r="S128" s="68"/>
      <c r="T128" s="69" t="str">
        <f t="shared" si="3"/>
        <v/>
      </c>
    </row>
    <row r="129" spans="1:20" ht="15" customHeight="1" x14ac:dyDescent="0.25">
      <c r="A129" s="65"/>
      <c r="B129" s="66"/>
      <c r="C129" s="66"/>
      <c r="D129" s="66"/>
      <c r="E129" s="66"/>
      <c r="F129" s="66"/>
      <c r="G129" s="67"/>
      <c r="H129" s="66"/>
      <c r="I129" s="68"/>
      <c r="J129" s="68"/>
      <c r="K129" s="68"/>
      <c r="L129" s="66"/>
      <c r="M129" s="68"/>
      <c r="N129" s="68"/>
      <c r="O129" s="66"/>
      <c r="P129" s="66"/>
      <c r="Q129" s="66"/>
      <c r="R129" s="66"/>
      <c r="S129" s="68"/>
      <c r="T129" s="69" t="str">
        <f t="shared" si="3"/>
        <v/>
      </c>
    </row>
    <row r="130" spans="1:20" ht="15" customHeight="1" x14ac:dyDescent="0.25">
      <c r="A130" s="65"/>
      <c r="B130" s="66"/>
      <c r="C130" s="66"/>
      <c r="D130" s="66"/>
      <c r="E130" s="66"/>
      <c r="F130" s="66"/>
      <c r="G130" s="67"/>
      <c r="H130" s="66"/>
      <c r="I130" s="68"/>
      <c r="J130" s="68"/>
      <c r="K130" s="68"/>
      <c r="L130" s="66"/>
      <c r="M130" s="68"/>
      <c r="N130" s="68"/>
      <c r="O130" s="66"/>
      <c r="P130" s="66"/>
      <c r="Q130" s="66"/>
      <c r="R130" s="66"/>
      <c r="S130" s="68"/>
      <c r="T130" s="69" t="str">
        <f t="shared" si="3"/>
        <v/>
      </c>
    </row>
    <row r="131" spans="1:20" ht="15" customHeight="1" x14ac:dyDescent="0.25">
      <c r="A131" s="65"/>
      <c r="B131" s="66"/>
      <c r="C131" s="66"/>
      <c r="D131" s="66"/>
      <c r="E131" s="66"/>
      <c r="F131" s="66"/>
      <c r="G131" s="67"/>
      <c r="H131" s="66"/>
      <c r="I131" s="68"/>
      <c r="J131" s="68"/>
      <c r="K131" s="68"/>
      <c r="L131" s="66"/>
      <c r="M131" s="68"/>
      <c r="N131" s="68"/>
      <c r="O131" s="66"/>
      <c r="P131" s="66"/>
      <c r="Q131" s="66"/>
      <c r="R131" s="66"/>
      <c r="S131" s="68"/>
      <c r="T131" s="69" t="str">
        <f t="shared" si="3"/>
        <v/>
      </c>
    </row>
    <row r="132" spans="1:20" ht="15" customHeight="1" x14ac:dyDescent="0.25">
      <c r="A132" s="65"/>
      <c r="B132" s="66"/>
      <c r="C132" s="66"/>
      <c r="D132" s="66"/>
      <c r="E132" s="66"/>
      <c r="F132" s="66"/>
      <c r="G132" s="67"/>
      <c r="H132" s="66"/>
      <c r="I132" s="68"/>
      <c r="J132" s="68"/>
      <c r="K132" s="68"/>
      <c r="L132" s="66"/>
      <c r="M132" s="68"/>
      <c r="N132" s="68"/>
      <c r="O132" s="66"/>
      <c r="P132" s="66"/>
      <c r="Q132" s="66"/>
      <c r="R132" s="66"/>
      <c r="S132" s="68"/>
      <c r="T132" s="69" t="str">
        <f t="shared" si="3"/>
        <v/>
      </c>
    </row>
    <row r="133" spans="1:20" ht="15" customHeight="1" x14ac:dyDescent="0.25">
      <c r="A133" s="65"/>
      <c r="B133" s="66"/>
      <c r="C133" s="66"/>
      <c r="D133" s="66"/>
      <c r="E133" s="66"/>
      <c r="F133" s="66"/>
      <c r="G133" s="67"/>
      <c r="H133" s="66"/>
      <c r="I133" s="68"/>
      <c r="J133" s="68"/>
      <c r="K133" s="68"/>
      <c r="L133" s="66"/>
      <c r="M133" s="68"/>
      <c r="N133" s="68"/>
      <c r="O133" s="66"/>
      <c r="P133" s="66"/>
      <c r="Q133" s="66"/>
      <c r="R133" s="66"/>
      <c r="S133" s="68"/>
      <c r="T133" s="69" t="str">
        <f t="shared" ref="T133:T164" si="4">IF($G133="","",$G133+ROW()/100000)</f>
        <v/>
      </c>
    </row>
    <row r="134" spans="1:20" ht="15" customHeight="1" x14ac:dyDescent="0.25">
      <c r="A134" s="65"/>
      <c r="B134" s="66"/>
      <c r="C134" s="66"/>
      <c r="D134" s="66"/>
      <c r="E134" s="66"/>
      <c r="F134" s="66"/>
      <c r="G134" s="67"/>
      <c r="H134" s="66"/>
      <c r="I134" s="68"/>
      <c r="J134" s="68"/>
      <c r="K134" s="68"/>
      <c r="L134" s="66"/>
      <c r="M134" s="68"/>
      <c r="N134" s="68"/>
      <c r="O134" s="66"/>
      <c r="P134" s="66"/>
      <c r="Q134" s="66"/>
      <c r="R134" s="66"/>
      <c r="S134" s="68"/>
      <c r="T134" s="69" t="str">
        <f t="shared" si="4"/>
        <v/>
      </c>
    </row>
    <row r="135" spans="1:20" ht="15" customHeight="1" x14ac:dyDescent="0.25">
      <c r="A135" s="65"/>
      <c r="B135" s="66"/>
      <c r="C135" s="66"/>
      <c r="D135" s="66"/>
      <c r="E135" s="66"/>
      <c r="F135" s="66"/>
      <c r="G135" s="67"/>
      <c r="H135" s="66"/>
      <c r="I135" s="68"/>
      <c r="J135" s="68"/>
      <c r="K135" s="68"/>
      <c r="L135" s="66"/>
      <c r="M135" s="68"/>
      <c r="N135" s="68"/>
      <c r="O135" s="66"/>
      <c r="P135" s="66"/>
      <c r="Q135" s="66"/>
      <c r="R135" s="66"/>
      <c r="S135" s="68"/>
      <c r="T135" s="69" t="str">
        <f t="shared" si="4"/>
        <v/>
      </c>
    </row>
    <row r="136" spans="1:20" ht="15" customHeight="1" x14ac:dyDescent="0.25">
      <c r="A136" s="65"/>
      <c r="B136" s="66"/>
      <c r="C136" s="66"/>
      <c r="D136" s="66"/>
      <c r="E136" s="66"/>
      <c r="F136" s="66"/>
      <c r="G136" s="67"/>
      <c r="H136" s="66"/>
      <c r="I136" s="68"/>
      <c r="J136" s="68"/>
      <c r="K136" s="68"/>
      <c r="L136" s="66"/>
      <c r="M136" s="68"/>
      <c r="N136" s="68"/>
      <c r="O136" s="66"/>
      <c r="P136" s="66"/>
      <c r="Q136" s="66"/>
      <c r="R136" s="66"/>
      <c r="S136" s="68"/>
      <c r="T136" s="69" t="str">
        <f t="shared" si="4"/>
        <v/>
      </c>
    </row>
    <row r="137" spans="1:20" ht="15" customHeight="1" x14ac:dyDescent="0.25">
      <c r="A137" s="65"/>
      <c r="B137" s="66"/>
      <c r="C137" s="66"/>
      <c r="D137" s="66"/>
      <c r="E137" s="66"/>
      <c r="F137" s="66"/>
      <c r="G137" s="67"/>
      <c r="H137" s="66"/>
      <c r="I137" s="68"/>
      <c r="J137" s="68"/>
      <c r="K137" s="68"/>
      <c r="L137" s="66"/>
      <c r="M137" s="68"/>
      <c r="N137" s="68"/>
      <c r="O137" s="66"/>
      <c r="P137" s="66"/>
      <c r="Q137" s="66"/>
      <c r="R137" s="66"/>
      <c r="S137" s="68"/>
      <c r="T137" s="69" t="str">
        <f t="shared" si="4"/>
        <v/>
      </c>
    </row>
    <row r="138" spans="1:20" ht="15" customHeight="1" x14ac:dyDescent="0.25">
      <c r="A138" s="65"/>
      <c r="B138" s="66"/>
      <c r="C138" s="66"/>
      <c r="D138" s="66"/>
      <c r="E138" s="66"/>
      <c r="F138" s="66"/>
      <c r="G138" s="67"/>
      <c r="H138" s="66"/>
      <c r="I138" s="68"/>
      <c r="J138" s="68"/>
      <c r="K138" s="68"/>
      <c r="L138" s="66"/>
      <c r="M138" s="68"/>
      <c r="N138" s="68"/>
      <c r="O138" s="66"/>
      <c r="P138" s="66"/>
      <c r="Q138" s="66"/>
      <c r="R138" s="66"/>
      <c r="S138" s="68"/>
      <c r="T138" s="69" t="str">
        <f t="shared" si="4"/>
        <v/>
      </c>
    </row>
    <row r="139" spans="1:20" ht="15" customHeight="1" x14ac:dyDescent="0.25">
      <c r="A139" s="65"/>
      <c r="B139" s="66"/>
      <c r="C139" s="66"/>
      <c r="D139" s="66"/>
      <c r="E139" s="66"/>
      <c r="F139" s="66"/>
      <c r="G139" s="67"/>
      <c r="H139" s="66"/>
      <c r="I139" s="68"/>
      <c r="J139" s="68"/>
      <c r="K139" s="68"/>
      <c r="L139" s="66"/>
      <c r="M139" s="68"/>
      <c r="N139" s="68"/>
      <c r="O139" s="66"/>
      <c r="P139" s="66"/>
      <c r="Q139" s="66"/>
      <c r="R139" s="66"/>
      <c r="S139" s="68"/>
      <c r="T139" s="69" t="str">
        <f t="shared" si="4"/>
        <v/>
      </c>
    </row>
    <row r="140" spans="1:20" ht="15" customHeight="1" x14ac:dyDescent="0.25">
      <c r="A140" s="65"/>
      <c r="B140" s="66"/>
      <c r="C140" s="66"/>
      <c r="D140" s="66"/>
      <c r="E140" s="66"/>
      <c r="F140" s="66"/>
      <c r="G140" s="67"/>
      <c r="H140" s="66"/>
      <c r="I140" s="68"/>
      <c r="J140" s="68"/>
      <c r="K140" s="68"/>
      <c r="L140" s="66"/>
      <c r="M140" s="68"/>
      <c r="N140" s="68"/>
      <c r="O140" s="66"/>
      <c r="P140" s="66"/>
      <c r="Q140" s="66"/>
      <c r="R140" s="66"/>
      <c r="S140" s="68"/>
      <c r="T140" s="69" t="str">
        <f t="shared" si="4"/>
        <v/>
      </c>
    </row>
    <row r="141" spans="1:20" ht="15" customHeight="1" x14ac:dyDescent="0.25">
      <c r="A141" s="65"/>
      <c r="B141" s="66"/>
      <c r="C141" s="66"/>
      <c r="D141" s="66"/>
      <c r="E141" s="66"/>
      <c r="F141" s="66"/>
      <c r="G141" s="67"/>
      <c r="H141" s="66"/>
      <c r="I141" s="68"/>
      <c r="J141" s="68"/>
      <c r="K141" s="68"/>
      <c r="L141" s="66"/>
      <c r="M141" s="68"/>
      <c r="N141" s="68"/>
      <c r="O141" s="66"/>
      <c r="P141" s="66"/>
      <c r="Q141" s="66"/>
      <c r="R141" s="66"/>
      <c r="S141" s="68"/>
      <c r="T141" s="69" t="str">
        <f t="shared" si="4"/>
        <v/>
      </c>
    </row>
    <row r="142" spans="1:20" ht="15" customHeight="1" x14ac:dyDescent="0.25">
      <c r="A142" s="65"/>
      <c r="B142" s="66"/>
      <c r="C142" s="66"/>
      <c r="D142" s="66"/>
      <c r="E142" s="66"/>
      <c r="F142" s="66"/>
      <c r="G142" s="67"/>
      <c r="H142" s="66"/>
      <c r="I142" s="68"/>
      <c r="J142" s="68"/>
      <c r="K142" s="68"/>
      <c r="L142" s="66"/>
      <c r="M142" s="68"/>
      <c r="N142" s="68"/>
      <c r="O142" s="66"/>
      <c r="P142" s="66"/>
      <c r="Q142" s="66"/>
      <c r="R142" s="66"/>
      <c r="S142" s="68"/>
      <c r="T142" s="69" t="str">
        <f t="shared" si="4"/>
        <v/>
      </c>
    </row>
    <row r="143" spans="1:20" ht="15" customHeight="1" x14ac:dyDescent="0.25">
      <c r="A143" s="65"/>
      <c r="B143" s="66"/>
      <c r="C143" s="66"/>
      <c r="D143" s="66"/>
      <c r="E143" s="66"/>
      <c r="F143" s="66"/>
      <c r="G143" s="67"/>
      <c r="H143" s="66"/>
      <c r="I143" s="68"/>
      <c r="J143" s="68"/>
      <c r="K143" s="68"/>
      <c r="L143" s="66"/>
      <c r="M143" s="68"/>
      <c r="N143" s="68"/>
      <c r="O143" s="66"/>
      <c r="P143" s="66"/>
      <c r="Q143" s="66"/>
      <c r="R143" s="66"/>
      <c r="S143" s="68"/>
      <c r="T143" s="69" t="str">
        <f t="shared" si="4"/>
        <v/>
      </c>
    </row>
    <row r="144" spans="1:20" ht="15" customHeight="1" x14ac:dyDescent="0.25">
      <c r="A144" s="65"/>
      <c r="B144" s="66"/>
      <c r="C144" s="66"/>
      <c r="D144" s="66"/>
      <c r="E144" s="66"/>
      <c r="F144" s="66"/>
      <c r="G144" s="67"/>
      <c r="H144" s="66"/>
      <c r="I144" s="68"/>
      <c r="J144" s="68"/>
      <c r="K144" s="68"/>
      <c r="L144" s="66"/>
      <c r="M144" s="68"/>
      <c r="N144" s="68"/>
      <c r="O144" s="66"/>
      <c r="P144" s="66"/>
      <c r="Q144" s="66"/>
      <c r="R144" s="66"/>
      <c r="S144" s="68"/>
      <c r="T144" s="69" t="str">
        <f t="shared" si="4"/>
        <v/>
      </c>
    </row>
    <row r="145" spans="1:20" ht="15" customHeight="1" x14ac:dyDescent="0.25">
      <c r="A145" s="65"/>
      <c r="B145" s="66"/>
      <c r="C145" s="66"/>
      <c r="D145" s="66"/>
      <c r="E145" s="66"/>
      <c r="F145" s="66"/>
      <c r="G145" s="67"/>
      <c r="H145" s="66"/>
      <c r="I145" s="68"/>
      <c r="J145" s="68"/>
      <c r="K145" s="68"/>
      <c r="L145" s="66"/>
      <c r="M145" s="68"/>
      <c r="N145" s="68"/>
      <c r="O145" s="66"/>
      <c r="P145" s="66"/>
      <c r="Q145" s="66"/>
      <c r="R145" s="66"/>
      <c r="S145" s="68"/>
      <c r="T145" s="69" t="str">
        <f t="shared" si="4"/>
        <v/>
      </c>
    </row>
    <row r="146" spans="1:20" ht="15" customHeight="1" x14ac:dyDescent="0.25">
      <c r="A146" s="65"/>
      <c r="B146" s="66"/>
      <c r="C146" s="66"/>
      <c r="D146" s="66"/>
      <c r="E146" s="66"/>
      <c r="F146" s="66"/>
      <c r="G146" s="67"/>
      <c r="H146" s="66"/>
      <c r="I146" s="68"/>
      <c r="J146" s="68"/>
      <c r="K146" s="68"/>
      <c r="L146" s="66"/>
      <c r="M146" s="68"/>
      <c r="N146" s="68"/>
      <c r="O146" s="66"/>
      <c r="P146" s="66"/>
      <c r="Q146" s="66"/>
      <c r="R146" s="66"/>
      <c r="S146" s="68"/>
      <c r="T146" s="69" t="str">
        <f t="shared" si="4"/>
        <v/>
      </c>
    </row>
    <row r="147" spans="1:20" ht="15" customHeight="1" x14ac:dyDescent="0.25">
      <c r="A147" s="65"/>
      <c r="B147" s="66"/>
      <c r="C147" s="66"/>
      <c r="D147" s="66"/>
      <c r="E147" s="66"/>
      <c r="F147" s="66"/>
      <c r="G147" s="67"/>
      <c r="H147" s="66"/>
      <c r="I147" s="68"/>
      <c r="J147" s="68"/>
      <c r="K147" s="68"/>
      <c r="L147" s="66"/>
      <c r="M147" s="68"/>
      <c r="N147" s="68"/>
      <c r="O147" s="66"/>
      <c r="P147" s="66"/>
      <c r="Q147" s="66"/>
      <c r="R147" s="66"/>
      <c r="S147" s="68"/>
      <c r="T147" s="69" t="str">
        <f t="shared" si="4"/>
        <v/>
      </c>
    </row>
    <row r="148" spans="1:20" ht="15" customHeight="1" x14ac:dyDescent="0.25">
      <c r="A148" s="65"/>
      <c r="B148" s="66"/>
      <c r="C148" s="66"/>
      <c r="D148" s="66"/>
      <c r="E148" s="66"/>
      <c r="F148" s="66"/>
      <c r="G148" s="67"/>
      <c r="H148" s="66"/>
      <c r="I148" s="68"/>
      <c r="J148" s="68"/>
      <c r="K148" s="68"/>
      <c r="L148" s="66"/>
      <c r="M148" s="68"/>
      <c r="N148" s="68"/>
      <c r="O148" s="66"/>
      <c r="P148" s="66"/>
      <c r="Q148" s="66"/>
      <c r="R148" s="66"/>
      <c r="S148" s="68"/>
      <c r="T148" s="69" t="str">
        <f t="shared" si="4"/>
        <v/>
      </c>
    </row>
    <row r="149" spans="1:20" ht="15" customHeight="1" x14ac:dyDescent="0.25">
      <c r="A149" s="65"/>
      <c r="B149" s="66"/>
      <c r="C149" s="66"/>
      <c r="D149" s="66"/>
      <c r="E149" s="66"/>
      <c r="F149" s="66"/>
      <c r="G149" s="67"/>
      <c r="H149" s="66"/>
      <c r="I149" s="68"/>
      <c r="J149" s="68"/>
      <c r="K149" s="68"/>
      <c r="L149" s="66"/>
      <c r="M149" s="68"/>
      <c r="N149" s="68"/>
      <c r="O149" s="66"/>
      <c r="P149" s="66"/>
      <c r="Q149" s="66"/>
      <c r="R149" s="66"/>
      <c r="S149" s="68"/>
      <c r="T149" s="69" t="str">
        <f t="shared" si="4"/>
        <v/>
      </c>
    </row>
    <row r="150" spans="1:20" ht="15" customHeight="1" x14ac:dyDescent="0.25">
      <c r="A150" s="65"/>
      <c r="B150" s="66"/>
      <c r="C150" s="66"/>
      <c r="D150" s="66"/>
      <c r="E150" s="66"/>
      <c r="F150" s="66"/>
      <c r="G150" s="67"/>
      <c r="H150" s="66"/>
      <c r="I150" s="68"/>
      <c r="J150" s="68"/>
      <c r="K150" s="68"/>
      <c r="L150" s="66"/>
      <c r="M150" s="68"/>
      <c r="N150" s="68"/>
      <c r="O150" s="66"/>
      <c r="P150" s="66"/>
      <c r="Q150" s="66"/>
      <c r="R150" s="66"/>
      <c r="S150" s="68"/>
      <c r="T150" s="69" t="str">
        <f t="shared" si="4"/>
        <v/>
      </c>
    </row>
    <row r="151" spans="1:20" ht="15" customHeight="1" x14ac:dyDescent="0.25">
      <c r="A151" s="65"/>
      <c r="B151" s="66"/>
      <c r="C151" s="66"/>
      <c r="D151" s="66"/>
      <c r="E151" s="66"/>
      <c r="F151" s="66"/>
      <c r="G151" s="67"/>
      <c r="H151" s="66"/>
      <c r="I151" s="68"/>
      <c r="J151" s="68"/>
      <c r="K151" s="68"/>
      <c r="L151" s="66"/>
      <c r="M151" s="68"/>
      <c r="N151" s="68"/>
      <c r="O151" s="66"/>
      <c r="P151" s="66"/>
      <c r="Q151" s="66"/>
      <c r="R151" s="66"/>
      <c r="S151" s="68"/>
      <c r="T151" s="69" t="str">
        <f t="shared" si="4"/>
        <v/>
      </c>
    </row>
    <row r="152" spans="1:20" ht="15" customHeight="1" x14ac:dyDescent="0.25">
      <c r="A152" s="65"/>
      <c r="B152" s="66"/>
      <c r="C152" s="66"/>
      <c r="D152" s="66"/>
      <c r="E152" s="66"/>
      <c r="F152" s="66"/>
      <c r="G152" s="67"/>
      <c r="H152" s="66"/>
      <c r="I152" s="68"/>
      <c r="J152" s="68"/>
      <c r="K152" s="68"/>
      <c r="L152" s="66"/>
      <c r="M152" s="68"/>
      <c r="N152" s="68"/>
      <c r="O152" s="66"/>
      <c r="P152" s="66"/>
      <c r="Q152" s="66"/>
      <c r="R152" s="66"/>
      <c r="S152" s="68"/>
      <c r="T152" s="69" t="str">
        <f t="shared" si="4"/>
        <v/>
      </c>
    </row>
    <row r="153" spans="1:20" ht="15" customHeight="1" x14ac:dyDescent="0.25">
      <c r="A153" s="65"/>
      <c r="B153" s="66"/>
      <c r="C153" s="66"/>
      <c r="D153" s="66"/>
      <c r="E153" s="66"/>
      <c r="F153" s="66"/>
      <c r="G153" s="67"/>
      <c r="H153" s="66"/>
      <c r="I153" s="68"/>
      <c r="J153" s="68"/>
      <c r="K153" s="68"/>
      <c r="L153" s="66"/>
      <c r="M153" s="68"/>
      <c r="N153" s="68"/>
      <c r="O153" s="66"/>
      <c r="P153" s="66"/>
      <c r="Q153" s="66"/>
      <c r="R153" s="66"/>
      <c r="S153" s="68"/>
      <c r="T153" s="69" t="str">
        <f t="shared" si="4"/>
        <v/>
      </c>
    </row>
    <row r="154" spans="1:20" ht="15" customHeight="1" x14ac:dyDescent="0.25">
      <c r="A154" s="65"/>
      <c r="B154" s="66"/>
      <c r="C154" s="66"/>
      <c r="D154" s="66"/>
      <c r="E154" s="66"/>
      <c r="F154" s="66"/>
      <c r="G154" s="67"/>
      <c r="H154" s="66"/>
      <c r="I154" s="68"/>
      <c r="J154" s="68"/>
      <c r="K154" s="68"/>
      <c r="L154" s="66"/>
      <c r="M154" s="68"/>
      <c r="N154" s="68"/>
      <c r="O154" s="66"/>
      <c r="P154" s="66"/>
      <c r="Q154" s="66"/>
      <c r="R154" s="66"/>
      <c r="S154" s="68"/>
      <c r="T154" s="69" t="str">
        <f t="shared" si="4"/>
        <v/>
      </c>
    </row>
    <row r="155" spans="1:20" ht="15" customHeight="1" x14ac:dyDescent="0.25">
      <c r="A155" s="65"/>
      <c r="B155" s="66"/>
      <c r="C155" s="66"/>
      <c r="D155" s="66"/>
      <c r="E155" s="66"/>
      <c r="F155" s="66"/>
      <c r="G155" s="67"/>
      <c r="H155" s="66"/>
      <c r="I155" s="68"/>
      <c r="J155" s="68"/>
      <c r="K155" s="68"/>
      <c r="L155" s="66"/>
      <c r="M155" s="68"/>
      <c r="N155" s="68"/>
      <c r="O155" s="66"/>
      <c r="P155" s="66"/>
      <c r="Q155" s="66"/>
      <c r="R155" s="66"/>
      <c r="S155" s="68"/>
      <c r="T155" s="69" t="str">
        <f t="shared" si="4"/>
        <v/>
      </c>
    </row>
    <row r="156" spans="1:20" ht="15" customHeight="1" x14ac:dyDescent="0.25">
      <c r="A156" s="65"/>
      <c r="B156" s="66"/>
      <c r="C156" s="66"/>
      <c r="D156" s="66"/>
      <c r="E156" s="66"/>
      <c r="F156" s="66"/>
      <c r="G156" s="67"/>
      <c r="H156" s="66"/>
      <c r="I156" s="68"/>
      <c r="J156" s="68"/>
      <c r="K156" s="68"/>
      <c r="L156" s="66"/>
      <c r="M156" s="68"/>
      <c r="N156" s="68"/>
      <c r="O156" s="66"/>
      <c r="P156" s="66"/>
      <c r="Q156" s="66"/>
      <c r="R156" s="66"/>
      <c r="S156" s="68"/>
      <c r="T156" s="69" t="str">
        <f t="shared" si="4"/>
        <v/>
      </c>
    </row>
    <row r="157" spans="1:20" ht="15" customHeight="1" x14ac:dyDescent="0.25">
      <c r="A157" s="65"/>
      <c r="B157" s="66"/>
      <c r="C157" s="66"/>
      <c r="D157" s="66"/>
      <c r="E157" s="66"/>
      <c r="F157" s="66"/>
      <c r="G157" s="67"/>
      <c r="H157" s="66"/>
      <c r="I157" s="68"/>
      <c r="J157" s="68"/>
      <c r="K157" s="68"/>
      <c r="L157" s="66"/>
      <c r="M157" s="68"/>
      <c r="N157" s="68"/>
      <c r="O157" s="66"/>
      <c r="P157" s="66"/>
      <c r="Q157" s="66"/>
      <c r="R157" s="66"/>
      <c r="S157" s="68"/>
      <c r="T157" s="69" t="str">
        <f t="shared" si="4"/>
        <v/>
      </c>
    </row>
    <row r="158" spans="1:20" ht="15" customHeight="1" x14ac:dyDescent="0.25">
      <c r="A158" s="65"/>
      <c r="B158" s="66"/>
      <c r="C158" s="66"/>
      <c r="D158" s="66"/>
      <c r="E158" s="66"/>
      <c r="F158" s="66"/>
      <c r="G158" s="67"/>
      <c r="H158" s="66"/>
      <c r="I158" s="68"/>
      <c r="J158" s="68"/>
      <c r="K158" s="68"/>
      <c r="L158" s="66"/>
      <c r="M158" s="68"/>
      <c r="N158" s="68"/>
      <c r="O158" s="66"/>
      <c r="P158" s="66"/>
      <c r="Q158" s="66"/>
      <c r="R158" s="66"/>
      <c r="S158" s="68"/>
      <c r="T158" s="69" t="str">
        <f t="shared" si="4"/>
        <v/>
      </c>
    </row>
    <row r="159" spans="1:20" ht="15" customHeight="1" x14ac:dyDescent="0.25">
      <c r="A159" s="65"/>
      <c r="B159" s="66"/>
      <c r="C159" s="66"/>
      <c r="D159" s="66"/>
      <c r="E159" s="66"/>
      <c r="F159" s="66"/>
      <c r="G159" s="67"/>
      <c r="H159" s="66"/>
      <c r="I159" s="68"/>
      <c r="J159" s="68"/>
      <c r="K159" s="68"/>
      <c r="L159" s="66"/>
      <c r="M159" s="68"/>
      <c r="N159" s="68"/>
      <c r="O159" s="66"/>
      <c r="P159" s="66"/>
      <c r="Q159" s="66"/>
      <c r="R159" s="66"/>
      <c r="S159" s="68"/>
      <c r="T159" s="69" t="str">
        <f t="shared" si="4"/>
        <v/>
      </c>
    </row>
    <row r="160" spans="1:20" ht="15" customHeight="1" x14ac:dyDescent="0.25">
      <c r="A160" s="65"/>
      <c r="B160" s="66"/>
      <c r="C160" s="66"/>
      <c r="D160" s="66"/>
      <c r="E160" s="66"/>
      <c r="F160" s="66"/>
      <c r="G160" s="67"/>
      <c r="H160" s="66"/>
      <c r="I160" s="68"/>
      <c r="J160" s="68"/>
      <c r="K160" s="68"/>
      <c r="L160" s="66"/>
      <c r="M160" s="68"/>
      <c r="N160" s="68"/>
      <c r="O160" s="66"/>
      <c r="P160" s="66"/>
      <c r="Q160" s="66"/>
      <c r="R160" s="66"/>
      <c r="S160" s="68"/>
      <c r="T160" s="69" t="str">
        <f t="shared" si="4"/>
        <v/>
      </c>
    </row>
    <row r="161" spans="1:20" ht="15" customHeight="1" x14ac:dyDescent="0.25">
      <c r="A161" s="65"/>
      <c r="B161" s="66"/>
      <c r="C161" s="66"/>
      <c r="D161" s="66"/>
      <c r="E161" s="66"/>
      <c r="F161" s="66"/>
      <c r="G161" s="67"/>
      <c r="H161" s="66"/>
      <c r="I161" s="68"/>
      <c r="J161" s="68"/>
      <c r="K161" s="68"/>
      <c r="L161" s="66"/>
      <c r="M161" s="68"/>
      <c r="N161" s="68"/>
      <c r="O161" s="66"/>
      <c r="P161" s="66"/>
      <c r="Q161" s="66"/>
      <c r="R161" s="66"/>
      <c r="S161" s="68"/>
      <c r="T161" s="69" t="str">
        <f t="shared" si="4"/>
        <v/>
      </c>
    </row>
    <row r="162" spans="1:20" ht="15" customHeight="1" x14ac:dyDescent="0.25">
      <c r="A162" s="65"/>
      <c r="B162" s="66"/>
      <c r="C162" s="66"/>
      <c r="D162" s="66"/>
      <c r="E162" s="66"/>
      <c r="F162" s="66"/>
      <c r="G162" s="67"/>
      <c r="H162" s="66"/>
      <c r="I162" s="68"/>
      <c r="J162" s="68"/>
      <c r="K162" s="68"/>
      <c r="L162" s="66"/>
      <c r="M162" s="68"/>
      <c r="N162" s="68"/>
      <c r="O162" s="66"/>
      <c r="P162" s="66"/>
      <c r="Q162" s="66"/>
      <c r="R162" s="66"/>
      <c r="S162" s="68"/>
      <c r="T162" s="69" t="str">
        <f t="shared" si="4"/>
        <v/>
      </c>
    </row>
    <row r="163" spans="1:20" ht="15" customHeight="1" x14ac:dyDescent="0.25">
      <c r="A163" s="65"/>
      <c r="B163" s="66"/>
      <c r="C163" s="66"/>
      <c r="D163" s="66"/>
      <c r="E163" s="66"/>
      <c r="F163" s="66"/>
      <c r="G163" s="67"/>
      <c r="H163" s="66"/>
      <c r="I163" s="68"/>
      <c r="J163" s="68"/>
      <c r="K163" s="68"/>
      <c r="L163" s="66"/>
      <c r="M163" s="68"/>
      <c r="N163" s="68"/>
      <c r="O163" s="66"/>
      <c r="P163" s="66"/>
      <c r="Q163" s="66"/>
      <c r="R163" s="66"/>
      <c r="S163" s="68"/>
      <c r="T163" s="69" t="str">
        <f t="shared" si="4"/>
        <v/>
      </c>
    </row>
    <row r="164" spans="1:20" ht="15" customHeight="1" x14ac:dyDescent="0.25">
      <c r="A164" s="65"/>
      <c r="B164" s="66"/>
      <c r="C164" s="66"/>
      <c r="D164" s="66"/>
      <c r="E164" s="66"/>
      <c r="F164" s="66"/>
      <c r="G164" s="67"/>
      <c r="H164" s="66"/>
      <c r="I164" s="68"/>
      <c r="J164" s="68"/>
      <c r="K164" s="68"/>
      <c r="L164" s="66"/>
      <c r="M164" s="68"/>
      <c r="N164" s="68"/>
      <c r="O164" s="66"/>
      <c r="P164" s="66"/>
      <c r="Q164" s="66"/>
      <c r="R164" s="66"/>
      <c r="S164" s="68"/>
      <c r="T164" s="69" t="str">
        <f t="shared" si="4"/>
        <v/>
      </c>
    </row>
    <row r="165" spans="1:20" ht="15" customHeight="1" x14ac:dyDescent="0.25">
      <c r="A165" s="65"/>
      <c r="B165" s="66"/>
      <c r="C165" s="66"/>
      <c r="D165" s="66"/>
      <c r="E165" s="66"/>
      <c r="F165" s="66"/>
      <c r="G165" s="67"/>
      <c r="H165" s="66"/>
      <c r="I165" s="68"/>
      <c r="J165" s="68"/>
      <c r="K165" s="68"/>
      <c r="L165" s="66"/>
      <c r="M165" s="68"/>
      <c r="N165" s="68"/>
      <c r="O165" s="66"/>
      <c r="P165" s="66"/>
      <c r="Q165" s="66"/>
      <c r="R165" s="66"/>
      <c r="S165" s="68"/>
      <c r="T165" s="69" t="str">
        <f t="shared" ref="T165:T196" si="5">IF($G165="","",$G165+ROW()/100000)</f>
        <v/>
      </c>
    </row>
    <row r="166" spans="1:20" ht="15" customHeight="1" x14ac:dyDescent="0.25">
      <c r="A166" s="65"/>
      <c r="B166" s="66"/>
      <c r="C166" s="66"/>
      <c r="D166" s="66"/>
      <c r="E166" s="66"/>
      <c r="F166" s="66"/>
      <c r="G166" s="67"/>
      <c r="H166" s="66"/>
      <c r="I166" s="68"/>
      <c r="J166" s="68"/>
      <c r="K166" s="68"/>
      <c r="L166" s="66"/>
      <c r="M166" s="68"/>
      <c r="N166" s="68"/>
      <c r="O166" s="66"/>
      <c r="P166" s="66"/>
      <c r="Q166" s="66"/>
      <c r="R166" s="66"/>
      <c r="S166" s="68"/>
      <c r="T166" s="69" t="str">
        <f t="shared" si="5"/>
        <v/>
      </c>
    </row>
    <row r="167" spans="1:20" ht="15" customHeight="1" x14ac:dyDescent="0.25">
      <c r="A167" s="65"/>
      <c r="B167" s="66"/>
      <c r="C167" s="66"/>
      <c r="D167" s="66"/>
      <c r="E167" s="66"/>
      <c r="F167" s="66"/>
      <c r="G167" s="67"/>
      <c r="H167" s="66"/>
      <c r="I167" s="68"/>
      <c r="J167" s="68"/>
      <c r="K167" s="68"/>
      <c r="L167" s="66"/>
      <c r="M167" s="68"/>
      <c r="N167" s="68"/>
      <c r="O167" s="66"/>
      <c r="P167" s="66"/>
      <c r="Q167" s="66"/>
      <c r="R167" s="66"/>
      <c r="S167" s="68"/>
      <c r="T167" s="69" t="str">
        <f t="shared" si="5"/>
        <v/>
      </c>
    </row>
    <row r="168" spans="1:20" ht="15" customHeight="1" x14ac:dyDescent="0.25">
      <c r="A168" s="65"/>
      <c r="B168" s="66"/>
      <c r="C168" s="66"/>
      <c r="D168" s="66"/>
      <c r="E168" s="66"/>
      <c r="F168" s="66"/>
      <c r="G168" s="67"/>
      <c r="H168" s="66"/>
      <c r="I168" s="68"/>
      <c r="J168" s="68"/>
      <c r="K168" s="68"/>
      <c r="L168" s="66"/>
      <c r="M168" s="68"/>
      <c r="N168" s="68"/>
      <c r="O168" s="66"/>
      <c r="P168" s="66"/>
      <c r="Q168" s="66"/>
      <c r="R168" s="66"/>
      <c r="S168" s="68"/>
      <c r="T168" s="69" t="str">
        <f t="shared" si="5"/>
        <v/>
      </c>
    </row>
    <row r="169" spans="1:20" ht="15" customHeight="1" x14ac:dyDescent="0.25">
      <c r="A169" s="65"/>
      <c r="B169" s="66"/>
      <c r="C169" s="66"/>
      <c r="D169" s="66"/>
      <c r="E169" s="66"/>
      <c r="F169" s="66"/>
      <c r="G169" s="67"/>
      <c r="H169" s="66"/>
      <c r="I169" s="68"/>
      <c r="J169" s="68"/>
      <c r="K169" s="68"/>
      <c r="L169" s="66"/>
      <c r="M169" s="68"/>
      <c r="N169" s="68"/>
      <c r="O169" s="66"/>
      <c r="P169" s="66"/>
      <c r="Q169" s="66"/>
      <c r="R169" s="66"/>
      <c r="S169" s="68"/>
      <c r="T169" s="69" t="str">
        <f t="shared" si="5"/>
        <v/>
      </c>
    </row>
    <row r="170" spans="1:20" ht="15" customHeight="1" x14ac:dyDescent="0.25">
      <c r="A170" s="65"/>
      <c r="B170" s="66"/>
      <c r="C170" s="66"/>
      <c r="D170" s="66"/>
      <c r="E170" s="66"/>
      <c r="F170" s="66"/>
      <c r="G170" s="67"/>
      <c r="H170" s="66"/>
      <c r="I170" s="68"/>
      <c r="J170" s="68"/>
      <c r="K170" s="68"/>
      <c r="L170" s="66"/>
      <c r="M170" s="68"/>
      <c r="N170" s="68"/>
      <c r="O170" s="66"/>
      <c r="P170" s="66"/>
      <c r="Q170" s="66"/>
      <c r="R170" s="66"/>
      <c r="S170" s="68"/>
      <c r="T170" s="69" t="str">
        <f t="shared" si="5"/>
        <v/>
      </c>
    </row>
    <row r="171" spans="1:20" ht="15" customHeight="1" x14ac:dyDescent="0.25">
      <c r="A171" s="65"/>
      <c r="B171" s="66"/>
      <c r="C171" s="66"/>
      <c r="D171" s="66"/>
      <c r="E171" s="66"/>
      <c r="F171" s="66"/>
      <c r="G171" s="67"/>
      <c r="H171" s="66"/>
      <c r="I171" s="68"/>
      <c r="J171" s="68"/>
      <c r="K171" s="68"/>
      <c r="L171" s="66"/>
      <c r="M171" s="68"/>
      <c r="N171" s="68"/>
      <c r="O171" s="66"/>
      <c r="P171" s="66"/>
      <c r="Q171" s="66"/>
      <c r="R171" s="66"/>
      <c r="S171" s="68"/>
      <c r="T171" s="69" t="str">
        <f t="shared" si="5"/>
        <v/>
      </c>
    </row>
    <row r="172" spans="1:20" ht="15" customHeight="1" x14ac:dyDescent="0.25">
      <c r="A172" s="65"/>
      <c r="B172" s="66"/>
      <c r="C172" s="66"/>
      <c r="D172" s="66"/>
      <c r="E172" s="66"/>
      <c r="F172" s="66"/>
      <c r="G172" s="67"/>
      <c r="H172" s="66"/>
      <c r="I172" s="68"/>
      <c r="J172" s="68"/>
      <c r="K172" s="68"/>
      <c r="L172" s="66"/>
      <c r="M172" s="68"/>
      <c r="N172" s="68"/>
      <c r="O172" s="66"/>
      <c r="P172" s="66"/>
      <c r="Q172" s="66"/>
      <c r="R172" s="66"/>
      <c r="S172" s="68"/>
      <c r="T172" s="69" t="str">
        <f t="shared" si="5"/>
        <v/>
      </c>
    </row>
    <row r="173" spans="1:20" ht="15" customHeight="1" x14ac:dyDescent="0.25">
      <c r="A173" s="65"/>
      <c r="B173" s="66"/>
      <c r="C173" s="66"/>
      <c r="D173" s="66"/>
      <c r="E173" s="66"/>
      <c r="F173" s="66"/>
      <c r="G173" s="67"/>
      <c r="H173" s="66"/>
      <c r="I173" s="68"/>
      <c r="J173" s="68"/>
      <c r="K173" s="68"/>
      <c r="L173" s="66"/>
      <c r="M173" s="68"/>
      <c r="N173" s="68"/>
      <c r="O173" s="66"/>
      <c r="P173" s="66"/>
      <c r="Q173" s="66"/>
      <c r="R173" s="66"/>
      <c r="S173" s="68"/>
      <c r="T173" s="69" t="str">
        <f t="shared" si="5"/>
        <v/>
      </c>
    </row>
    <row r="174" spans="1:20" ht="15" customHeight="1" x14ac:dyDescent="0.25">
      <c r="A174" s="65"/>
      <c r="B174" s="66"/>
      <c r="C174" s="66"/>
      <c r="D174" s="66"/>
      <c r="E174" s="66"/>
      <c r="F174" s="66"/>
      <c r="G174" s="67"/>
      <c r="H174" s="66"/>
      <c r="I174" s="68"/>
      <c r="J174" s="68"/>
      <c r="K174" s="68"/>
      <c r="L174" s="66"/>
      <c r="M174" s="68"/>
      <c r="N174" s="68"/>
      <c r="O174" s="66"/>
      <c r="P174" s="66"/>
      <c r="Q174" s="66"/>
      <c r="R174" s="66"/>
      <c r="S174" s="68"/>
      <c r="T174" s="69" t="str">
        <f t="shared" si="5"/>
        <v/>
      </c>
    </row>
    <row r="175" spans="1:20" ht="15" customHeight="1" x14ac:dyDescent="0.25">
      <c r="A175" s="65"/>
      <c r="B175" s="66"/>
      <c r="C175" s="66"/>
      <c r="D175" s="66"/>
      <c r="E175" s="66"/>
      <c r="F175" s="66"/>
      <c r="G175" s="67"/>
      <c r="H175" s="66"/>
      <c r="I175" s="68"/>
      <c r="J175" s="68"/>
      <c r="K175" s="68"/>
      <c r="L175" s="66"/>
      <c r="M175" s="68"/>
      <c r="N175" s="68"/>
      <c r="O175" s="66"/>
      <c r="P175" s="66"/>
      <c r="Q175" s="66"/>
      <c r="R175" s="66"/>
      <c r="S175" s="68"/>
      <c r="T175" s="69" t="str">
        <f t="shared" si="5"/>
        <v/>
      </c>
    </row>
    <row r="176" spans="1:20" ht="15" customHeight="1" x14ac:dyDescent="0.25">
      <c r="A176" s="65"/>
      <c r="B176" s="66"/>
      <c r="C176" s="66"/>
      <c r="D176" s="66"/>
      <c r="E176" s="66"/>
      <c r="F176" s="66"/>
      <c r="G176" s="67"/>
      <c r="H176" s="66"/>
      <c r="I176" s="68"/>
      <c r="J176" s="68"/>
      <c r="K176" s="68"/>
      <c r="L176" s="66"/>
      <c r="M176" s="68"/>
      <c r="N176" s="68"/>
      <c r="O176" s="66"/>
      <c r="P176" s="66"/>
      <c r="Q176" s="66"/>
      <c r="R176" s="66"/>
      <c r="S176" s="68"/>
      <c r="T176" s="69" t="str">
        <f t="shared" si="5"/>
        <v/>
      </c>
    </row>
    <row r="177" spans="1:20" ht="15" customHeight="1" x14ac:dyDescent="0.25">
      <c r="A177" s="65"/>
      <c r="B177" s="66"/>
      <c r="C177" s="66"/>
      <c r="D177" s="66"/>
      <c r="E177" s="66"/>
      <c r="F177" s="66"/>
      <c r="G177" s="67"/>
      <c r="H177" s="66"/>
      <c r="I177" s="68"/>
      <c r="J177" s="68"/>
      <c r="K177" s="68"/>
      <c r="L177" s="66"/>
      <c r="M177" s="68"/>
      <c r="N177" s="68"/>
      <c r="O177" s="66"/>
      <c r="P177" s="66"/>
      <c r="Q177" s="66"/>
      <c r="R177" s="66"/>
      <c r="S177" s="68"/>
      <c r="T177" s="69" t="str">
        <f t="shared" si="5"/>
        <v/>
      </c>
    </row>
    <row r="178" spans="1:20" ht="15" customHeight="1" x14ac:dyDescent="0.25">
      <c r="A178" s="65"/>
      <c r="B178" s="66"/>
      <c r="C178" s="66"/>
      <c r="D178" s="66"/>
      <c r="E178" s="66"/>
      <c r="F178" s="66"/>
      <c r="G178" s="67"/>
      <c r="H178" s="66"/>
      <c r="I178" s="68"/>
      <c r="J178" s="68"/>
      <c r="K178" s="68"/>
      <c r="L178" s="66"/>
      <c r="M178" s="68"/>
      <c r="N178" s="68"/>
      <c r="O178" s="66"/>
      <c r="P178" s="66"/>
      <c r="Q178" s="66"/>
      <c r="R178" s="66"/>
      <c r="S178" s="68"/>
      <c r="T178" s="69" t="str">
        <f t="shared" si="5"/>
        <v/>
      </c>
    </row>
    <row r="179" spans="1:20" ht="15" customHeight="1" x14ac:dyDescent="0.25">
      <c r="A179" s="65"/>
      <c r="B179" s="66"/>
      <c r="C179" s="66"/>
      <c r="D179" s="66"/>
      <c r="E179" s="66"/>
      <c r="F179" s="66"/>
      <c r="G179" s="67"/>
      <c r="H179" s="66"/>
      <c r="I179" s="68"/>
      <c r="J179" s="68"/>
      <c r="K179" s="68"/>
      <c r="L179" s="66"/>
      <c r="M179" s="68"/>
      <c r="N179" s="68"/>
      <c r="O179" s="66"/>
      <c r="P179" s="66"/>
      <c r="Q179" s="66"/>
      <c r="R179" s="66"/>
      <c r="S179" s="68"/>
      <c r="T179" s="69" t="str">
        <f t="shared" si="5"/>
        <v/>
      </c>
    </row>
    <row r="180" spans="1:20" ht="15" customHeight="1" x14ac:dyDescent="0.25">
      <c r="A180" s="65"/>
      <c r="B180" s="66"/>
      <c r="C180" s="66"/>
      <c r="D180" s="66"/>
      <c r="E180" s="66"/>
      <c r="F180" s="66"/>
      <c r="G180" s="67"/>
      <c r="H180" s="66"/>
      <c r="I180" s="68"/>
      <c r="J180" s="68"/>
      <c r="K180" s="68"/>
      <c r="L180" s="66"/>
      <c r="M180" s="68"/>
      <c r="N180" s="68"/>
      <c r="O180" s="66"/>
      <c r="P180" s="66"/>
      <c r="Q180" s="66"/>
      <c r="R180" s="66"/>
      <c r="S180" s="68"/>
      <c r="T180" s="69" t="str">
        <f t="shared" si="5"/>
        <v/>
      </c>
    </row>
    <row r="181" spans="1:20" ht="15" customHeight="1" x14ac:dyDescent="0.25">
      <c r="A181" s="65"/>
      <c r="B181" s="66"/>
      <c r="C181" s="66"/>
      <c r="D181" s="66"/>
      <c r="E181" s="66"/>
      <c r="F181" s="66"/>
      <c r="G181" s="67"/>
      <c r="H181" s="66"/>
      <c r="I181" s="68"/>
      <c r="J181" s="68"/>
      <c r="K181" s="68"/>
      <c r="L181" s="66"/>
      <c r="M181" s="68"/>
      <c r="N181" s="68"/>
      <c r="O181" s="66"/>
      <c r="P181" s="66"/>
      <c r="Q181" s="66"/>
      <c r="R181" s="66"/>
      <c r="S181" s="68"/>
      <c r="T181" s="69" t="str">
        <f t="shared" si="5"/>
        <v/>
      </c>
    </row>
    <row r="182" spans="1:20" ht="15" customHeight="1" x14ac:dyDescent="0.25">
      <c r="A182" s="65"/>
      <c r="B182" s="66"/>
      <c r="C182" s="66"/>
      <c r="D182" s="66"/>
      <c r="E182" s="66"/>
      <c r="F182" s="66"/>
      <c r="G182" s="67"/>
      <c r="H182" s="66"/>
      <c r="I182" s="68"/>
      <c r="J182" s="68"/>
      <c r="K182" s="68"/>
      <c r="L182" s="66"/>
      <c r="M182" s="68"/>
      <c r="N182" s="68"/>
      <c r="O182" s="66"/>
      <c r="P182" s="66"/>
      <c r="Q182" s="66"/>
      <c r="R182" s="66"/>
      <c r="S182" s="68"/>
      <c r="T182" s="69" t="str">
        <f t="shared" si="5"/>
        <v/>
      </c>
    </row>
    <row r="183" spans="1:20" ht="15" customHeight="1" x14ac:dyDescent="0.25">
      <c r="A183" s="65"/>
      <c r="B183" s="66"/>
      <c r="C183" s="66"/>
      <c r="D183" s="66"/>
      <c r="E183" s="66"/>
      <c r="F183" s="66"/>
      <c r="G183" s="67"/>
      <c r="H183" s="66"/>
      <c r="I183" s="68"/>
      <c r="J183" s="68"/>
      <c r="K183" s="68"/>
      <c r="L183" s="66"/>
      <c r="M183" s="68"/>
      <c r="N183" s="68"/>
      <c r="O183" s="66"/>
      <c r="P183" s="66"/>
      <c r="Q183" s="66"/>
      <c r="R183" s="66"/>
      <c r="S183" s="68"/>
      <c r="T183" s="69" t="str">
        <f t="shared" si="5"/>
        <v/>
      </c>
    </row>
    <row r="184" spans="1:20" ht="15" customHeight="1" x14ac:dyDescent="0.25">
      <c r="A184" s="65"/>
      <c r="B184" s="66"/>
      <c r="C184" s="66"/>
      <c r="D184" s="66"/>
      <c r="E184" s="66"/>
      <c r="F184" s="66"/>
      <c r="G184" s="67"/>
      <c r="H184" s="66"/>
      <c r="I184" s="68"/>
      <c r="J184" s="68"/>
      <c r="K184" s="68"/>
      <c r="L184" s="66"/>
      <c r="M184" s="68"/>
      <c r="N184" s="68"/>
      <c r="O184" s="66"/>
      <c r="P184" s="66"/>
      <c r="Q184" s="66"/>
      <c r="R184" s="66"/>
      <c r="S184" s="68"/>
      <c r="T184" s="69" t="str">
        <f t="shared" si="5"/>
        <v/>
      </c>
    </row>
    <row r="185" spans="1:20" ht="15" customHeight="1" x14ac:dyDescent="0.25">
      <c r="A185" s="65"/>
      <c r="B185" s="66"/>
      <c r="C185" s="66"/>
      <c r="D185" s="66"/>
      <c r="E185" s="66"/>
      <c r="F185" s="66"/>
      <c r="G185" s="67"/>
      <c r="H185" s="66"/>
      <c r="I185" s="68"/>
      <c r="J185" s="68"/>
      <c r="K185" s="68"/>
      <c r="L185" s="66"/>
      <c r="M185" s="68"/>
      <c r="N185" s="68"/>
      <c r="O185" s="66"/>
      <c r="P185" s="66"/>
      <c r="Q185" s="66"/>
      <c r="R185" s="66"/>
      <c r="S185" s="68"/>
      <c r="T185" s="69" t="str">
        <f t="shared" si="5"/>
        <v/>
      </c>
    </row>
    <row r="186" spans="1:20" ht="15" customHeight="1" x14ac:dyDescent="0.25">
      <c r="A186" s="65"/>
      <c r="B186" s="66"/>
      <c r="C186" s="66"/>
      <c r="D186" s="66"/>
      <c r="E186" s="66"/>
      <c r="F186" s="66"/>
      <c r="G186" s="67"/>
      <c r="H186" s="66"/>
      <c r="I186" s="68"/>
      <c r="J186" s="68"/>
      <c r="K186" s="68"/>
      <c r="L186" s="66"/>
      <c r="M186" s="68"/>
      <c r="N186" s="68"/>
      <c r="O186" s="66"/>
      <c r="P186" s="66"/>
      <c r="Q186" s="66"/>
      <c r="R186" s="66"/>
      <c r="S186" s="68"/>
      <c r="T186" s="69" t="str">
        <f t="shared" si="5"/>
        <v/>
      </c>
    </row>
    <row r="187" spans="1:20" ht="15" customHeight="1" x14ac:dyDescent="0.25">
      <c r="A187" s="65"/>
      <c r="B187" s="66"/>
      <c r="C187" s="66"/>
      <c r="D187" s="66"/>
      <c r="E187" s="66"/>
      <c r="F187" s="66"/>
      <c r="G187" s="67"/>
      <c r="H187" s="66"/>
      <c r="I187" s="68"/>
      <c r="J187" s="68"/>
      <c r="K187" s="68"/>
      <c r="L187" s="66"/>
      <c r="M187" s="68"/>
      <c r="N187" s="68"/>
      <c r="O187" s="66"/>
      <c r="P187" s="66"/>
      <c r="Q187" s="66"/>
      <c r="R187" s="66"/>
      <c r="S187" s="68"/>
      <c r="T187" s="69" t="str">
        <f t="shared" si="5"/>
        <v/>
      </c>
    </row>
    <row r="188" spans="1:20" ht="15" customHeight="1" x14ac:dyDescent="0.25">
      <c r="A188" s="65"/>
      <c r="B188" s="66"/>
      <c r="C188" s="66"/>
      <c r="D188" s="66"/>
      <c r="E188" s="66"/>
      <c r="F188" s="66"/>
      <c r="G188" s="67"/>
      <c r="H188" s="66"/>
      <c r="I188" s="68"/>
      <c r="J188" s="68"/>
      <c r="K188" s="68"/>
      <c r="L188" s="66"/>
      <c r="M188" s="68"/>
      <c r="N188" s="68"/>
      <c r="O188" s="66"/>
      <c r="P188" s="66"/>
      <c r="Q188" s="66"/>
      <c r="R188" s="66"/>
      <c r="S188" s="68"/>
      <c r="T188" s="69" t="str">
        <f t="shared" si="5"/>
        <v/>
      </c>
    </row>
    <row r="189" spans="1:20" ht="15" customHeight="1" x14ac:dyDescent="0.25">
      <c r="A189" s="65"/>
      <c r="B189" s="66"/>
      <c r="C189" s="66"/>
      <c r="D189" s="66"/>
      <c r="E189" s="66"/>
      <c r="F189" s="66"/>
      <c r="G189" s="67"/>
      <c r="H189" s="66"/>
      <c r="I189" s="68"/>
      <c r="J189" s="68"/>
      <c r="K189" s="68"/>
      <c r="L189" s="66"/>
      <c r="M189" s="68"/>
      <c r="N189" s="68"/>
      <c r="O189" s="66"/>
      <c r="P189" s="66"/>
      <c r="Q189" s="66"/>
      <c r="R189" s="66"/>
      <c r="S189" s="68"/>
      <c r="T189" s="69" t="str">
        <f t="shared" si="5"/>
        <v/>
      </c>
    </row>
    <row r="190" spans="1:20" ht="15" customHeight="1" x14ac:dyDescent="0.25">
      <c r="A190" s="65"/>
      <c r="B190" s="66"/>
      <c r="C190" s="66"/>
      <c r="D190" s="66"/>
      <c r="E190" s="66"/>
      <c r="F190" s="66"/>
      <c r="G190" s="67"/>
      <c r="H190" s="66"/>
      <c r="I190" s="68"/>
      <c r="J190" s="68"/>
      <c r="K190" s="68"/>
      <c r="L190" s="66"/>
      <c r="M190" s="68"/>
      <c r="N190" s="68"/>
      <c r="O190" s="66"/>
      <c r="P190" s="66"/>
      <c r="Q190" s="66"/>
      <c r="R190" s="66"/>
      <c r="S190" s="68"/>
      <c r="T190" s="69" t="str">
        <f t="shared" si="5"/>
        <v/>
      </c>
    </row>
    <row r="191" spans="1:20" ht="15" customHeight="1" x14ac:dyDescent="0.25">
      <c r="A191" s="65"/>
      <c r="B191" s="66"/>
      <c r="C191" s="66"/>
      <c r="D191" s="66"/>
      <c r="E191" s="66"/>
      <c r="F191" s="66"/>
      <c r="G191" s="67"/>
      <c r="H191" s="66"/>
      <c r="I191" s="68"/>
      <c r="J191" s="68"/>
      <c r="K191" s="68"/>
      <c r="L191" s="66"/>
      <c r="M191" s="68"/>
      <c r="N191" s="68"/>
      <c r="O191" s="66"/>
      <c r="P191" s="66"/>
      <c r="Q191" s="66"/>
      <c r="R191" s="66"/>
      <c r="S191" s="68"/>
      <c r="T191" s="69" t="str">
        <f t="shared" si="5"/>
        <v/>
      </c>
    </row>
    <row r="192" spans="1:20" ht="15" customHeight="1" x14ac:dyDescent="0.25">
      <c r="A192" s="65"/>
      <c r="B192" s="66"/>
      <c r="C192" s="66"/>
      <c r="D192" s="66"/>
      <c r="E192" s="66"/>
      <c r="F192" s="66"/>
      <c r="G192" s="67"/>
      <c r="H192" s="66"/>
      <c r="I192" s="68"/>
      <c r="J192" s="68"/>
      <c r="K192" s="68"/>
      <c r="L192" s="66"/>
      <c r="M192" s="68"/>
      <c r="N192" s="68"/>
      <c r="O192" s="66"/>
      <c r="P192" s="66"/>
      <c r="Q192" s="66"/>
      <c r="R192" s="66"/>
      <c r="S192" s="68"/>
      <c r="T192" s="69" t="str">
        <f t="shared" si="5"/>
        <v/>
      </c>
    </row>
    <row r="193" spans="1:20" ht="15" customHeight="1" x14ac:dyDescent="0.25">
      <c r="A193" s="65"/>
      <c r="B193" s="66"/>
      <c r="C193" s="66"/>
      <c r="D193" s="66"/>
      <c r="E193" s="66"/>
      <c r="F193" s="66"/>
      <c r="G193" s="67"/>
      <c r="H193" s="66"/>
      <c r="I193" s="68"/>
      <c r="J193" s="68"/>
      <c r="K193" s="68"/>
      <c r="L193" s="66"/>
      <c r="M193" s="68"/>
      <c r="N193" s="68"/>
      <c r="O193" s="66"/>
      <c r="P193" s="66"/>
      <c r="Q193" s="66"/>
      <c r="R193" s="66"/>
      <c r="S193" s="68"/>
      <c r="T193" s="69" t="str">
        <f t="shared" si="5"/>
        <v/>
      </c>
    </row>
    <row r="194" spans="1:20" ht="15" customHeight="1" x14ac:dyDescent="0.25">
      <c r="A194" s="65"/>
      <c r="B194" s="66"/>
      <c r="C194" s="66"/>
      <c r="D194" s="66"/>
      <c r="E194" s="66"/>
      <c r="F194" s="66"/>
      <c r="G194" s="67"/>
      <c r="H194" s="66"/>
      <c r="I194" s="68"/>
      <c r="J194" s="68"/>
      <c r="K194" s="68"/>
      <c r="L194" s="66"/>
      <c r="M194" s="68"/>
      <c r="N194" s="68"/>
      <c r="O194" s="66"/>
      <c r="P194" s="66"/>
      <c r="Q194" s="66"/>
      <c r="R194" s="66"/>
      <c r="S194" s="68"/>
      <c r="T194" s="69" t="str">
        <f t="shared" si="5"/>
        <v/>
      </c>
    </row>
    <row r="195" spans="1:20" ht="15" customHeight="1" x14ac:dyDescent="0.25">
      <c r="A195" s="65"/>
      <c r="B195" s="66"/>
      <c r="C195" s="66"/>
      <c r="D195" s="66"/>
      <c r="E195" s="66"/>
      <c r="F195" s="66"/>
      <c r="G195" s="67"/>
      <c r="H195" s="66"/>
      <c r="I195" s="68"/>
      <c r="J195" s="68"/>
      <c r="K195" s="68"/>
      <c r="L195" s="66"/>
      <c r="M195" s="68"/>
      <c r="N195" s="68"/>
      <c r="O195" s="66"/>
      <c r="P195" s="66"/>
      <c r="Q195" s="66"/>
      <c r="R195" s="66"/>
      <c r="S195" s="68"/>
      <c r="T195" s="69" t="str">
        <f t="shared" si="5"/>
        <v/>
      </c>
    </row>
    <row r="196" spans="1:20" ht="15" customHeight="1" x14ac:dyDescent="0.25">
      <c r="A196" s="65"/>
      <c r="B196" s="66"/>
      <c r="C196" s="66"/>
      <c r="D196" s="66"/>
      <c r="E196" s="66"/>
      <c r="F196" s="66"/>
      <c r="G196" s="67"/>
      <c r="H196" s="66"/>
      <c r="I196" s="68"/>
      <c r="J196" s="68"/>
      <c r="K196" s="68"/>
      <c r="L196" s="66"/>
      <c r="M196" s="68"/>
      <c r="N196" s="68"/>
      <c r="O196" s="66"/>
      <c r="P196" s="66"/>
      <c r="Q196" s="66"/>
      <c r="R196" s="66"/>
      <c r="S196" s="68"/>
      <c r="T196" s="69" t="str">
        <f t="shared" si="5"/>
        <v/>
      </c>
    </row>
    <row r="197" spans="1:20" ht="15" customHeight="1" x14ac:dyDescent="0.25">
      <c r="A197" s="65"/>
      <c r="B197" s="66"/>
      <c r="C197" s="66"/>
      <c r="D197" s="66"/>
      <c r="E197" s="66"/>
      <c r="F197" s="66"/>
      <c r="G197" s="67"/>
      <c r="H197" s="66"/>
      <c r="I197" s="68"/>
      <c r="J197" s="68"/>
      <c r="K197" s="68"/>
      <c r="L197" s="66"/>
      <c r="M197" s="68"/>
      <c r="N197" s="68"/>
      <c r="O197" s="66"/>
      <c r="P197" s="66"/>
      <c r="Q197" s="66"/>
      <c r="R197" s="66"/>
      <c r="S197" s="68"/>
      <c r="T197" s="69" t="str">
        <f t="shared" ref="T197:T204" si="6">IF($G197="","",$G197+ROW()/100000)</f>
        <v/>
      </c>
    </row>
    <row r="198" spans="1:20" ht="15" customHeight="1" x14ac:dyDescent="0.25">
      <c r="A198" s="65"/>
      <c r="B198" s="66"/>
      <c r="C198" s="66"/>
      <c r="D198" s="66"/>
      <c r="E198" s="66"/>
      <c r="F198" s="66"/>
      <c r="G198" s="67"/>
      <c r="H198" s="66"/>
      <c r="I198" s="68"/>
      <c r="J198" s="68"/>
      <c r="K198" s="68"/>
      <c r="L198" s="66"/>
      <c r="M198" s="68"/>
      <c r="N198" s="68"/>
      <c r="O198" s="66"/>
      <c r="P198" s="66"/>
      <c r="Q198" s="66"/>
      <c r="R198" s="66"/>
      <c r="S198" s="68"/>
      <c r="T198" s="69" t="str">
        <f t="shared" si="6"/>
        <v/>
      </c>
    </row>
    <row r="199" spans="1:20" ht="15" customHeight="1" x14ac:dyDescent="0.25">
      <c r="A199" s="65"/>
      <c r="B199" s="66"/>
      <c r="C199" s="66"/>
      <c r="D199" s="66"/>
      <c r="E199" s="66"/>
      <c r="F199" s="66"/>
      <c r="G199" s="67"/>
      <c r="H199" s="66"/>
      <c r="I199" s="68"/>
      <c r="J199" s="68"/>
      <c r="K199" s="68"/>
      <c r="L199" s="66"/>
      <c r="M199" s="68"/>
      <c r="N199" s="68"/>
      <c r="O199" s="66"/>
      <c r="P199" s="66"/>
      <c r="Q199" s="66"/>
      <c r="R199" s="66"/>
      <c r="S199" s="68"/>
      <c r="T199" s="69" t="str">
        <f t="shared" si="6"/>
        <v/>
      </c>
    </row>
    <row r="200" spans="1:20" ht="15" customHeight="1" x14ac:dyDescent="0.25">
      <c r="A200" s="65"/>
      <c r="B200" s="66"/>
      <c r="C200" s="66"/>
      <c r="D200" s="66"/>
      <c r="E200" s="66"/>
      <c r="F200" s="66"/>
      <c r="G200" s="67"/>
      <c r="H200" s="66"/>
      <c r="I200" s="68"/>
      <c r="J200" s="68"/>
      <c r="K200" s="68"/>
      <c r="L200" s="66"/>
      <c r="M200" s="68"/>
      <c r="N200" s="68"/>
      <c r="O200" s="66"/>
      <c r="P200" s="66"/>
      <c r="Q200" s="66"/>
      <c r="R200" s="66"/>
      <c r="S200" s="68"/>
      <c r="T200" s="69" t="str">
        <f t="shared" si="6"/>
        <v/>
      </c>
    </row>
    <row r="201" spans="1:20" ht="15" customHeight="1" x14ac:dyDescent="0.25">
      <c r="A201" s="65"/>
      <c r="B201" s="66"/>
      <c r="C201" s="66"/>
      <c r="D201" s="66"/>
      <c r="E201" s="66"/>
      <c r="F201" s="66"/>
      <c r="G201" s="67"/>
      <c r="H201" s="66"/>
      <c r="I201" s="68"/>
      <c r="J201" s="68"/>
      <c r="K201" s="68"/>
      <c r="L201" s="66"/>
      <c r="M201" s="68"/>
      <c r="N201" s="68"/>
      <c r="O201" s="66"/>
      <c r="P201" s="66"/>
      <c r="Q201" s="66"/>
      <c r="R201" s="66"/>
      <c r="S201" s="68"/>
      <c r="T201" s="69" t="str">
        <f t="shared" si="6"/>
        <v/>
      </c>
    </row>
    <row r="202" spans="1:20" ht="15" customHeight="1" x14ac:dyDescent="0.25">
      <c r="A202" s="65"/>
      <c r="B202" s="66"/>
      <c r="C202" s="66"/>
      <c r="D202" s="66"/>
      <c r="E202" s="66"/>
      <c r="F202" s="66"/>
      <c r="G202" s="67"/>
      <c r="H202" s="66"/>
      <c r="I202" s="68"/>
      <c r="J202" s="68"/>
      <c r="K202" s="68"/>
      <c r="L202" s="66"/>
      <c r="M202" s="68"/>
      <c r="N202" s="68"/>
      <c r="O202" s="66"/>
      <c r="P202" s="66"/>
      <c r="Q202" s="66"/>
      <c r="R202" s="66"/>
      <c r="S202" s="68"/>
      <c r="T202" s="69" t="str">
        <f t="shared" si="6"/>
        <v/>
      </c>
    </row>
    <row r="203" spans="1:20" ht="15" customHeight="1" x14ac:dyDescent="0.25">
      <c r="A203" s="65"/>
      <c r="B203" s="66"/>
      <c r="C203" s="66"/>
      <c r="D203" s="66"/>
      <c r="E203" s="66"/>
      <c r="F203" s="66"/>
      <c r="G203" s="67"/>
      <c r="H203" s="66"/>
      <c r="I203" s="68"/>
      <c r="J203" s="68"/>
      <c r="K203" s="68"/>
      <c r="L203" s="66"/>
      <c r="M203" s="68"/>
      <c r="N203" s="68"/>
      <c r="O203" s="66"/>
      <c r="P203" s="66"/>
      <c r="Q203" s="66"/>
      <c r="R203" s="66"/>
      <c r="S203" s="68"/>
      <c r="T203" s="69" t="str">
        <f t="shared" si="6"/>
        <v/>
      </c>
    </row>
    <row r="204" spans="1:20" ht="15" customHeight="1" x14ac:dyDescent="0.25">
      <c r="A204" s="65"/>
      <c r="B204" s="66"/>
      <c r="C204" s="66"/>
      <c r="D204" s="66"/>
      <c r="E204" s="66"/>
      <c r="F204" s="66"/>
      <c r="G204" s="67"/>
      <c r="H204" s="66"/>
      <c r="I204" s="68"/>
      <c r="J204" s="68"/>
      <c r="K204" s="68"/>
      <c r="L204" s="66"/>
      <c r="M204" s="68"/>
      <c r="N204" s="68"/>
      <c r="O204" s="66"/>
      <c r="P204" s="66"/>
      <c r="Q204" s="66"/>
      <c r="R204" s="66"/>
      <c r="S204" s="68"/>
      <c r="T204" s="69" t="str">
        <f t="shared" si="6"/>
        <v/>
      </c>
    </row>
  </sheetData>
  <mergeCells count="2">
    <mergeCell ref="A1:Q1"/>
    <mergeCell ref="A2:Q3"/>
  </mergeCells>
  <dataValidations count="1">
    <dataValidation type="list" allowBlank="1" showDropDown="1" sqref="D5:D204" xr:uid="{00000000-0002-0000-0400-000000000000}">
      <formula1>"Downtime,Quality,Safety,BRITE,Other"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8" customWidth="1"/>
    <col min="3" max="3" width="6" customWidth="1"/>
    <col min="4" max="4" width="14" customWidth="1"/>
    <col min="5" max="5" width="24" customWidth="1"/>
  </cols>
  <sheetData>
    <row r="1" spans="1:11" ht="15" customHeight="1" x14ac:dyDescent="0.25">
      <c r="A1" s="14" t="s">
        <v>69</v>
      </c>
      <c r="B1" s="14" t="s">
        <v>214</v>
      </c>
      <c r="C1" s="14" t="s">
        <v>215</v>
      </c>
      <c r="D1" s="14" t="s">
        <v>35</v>
      </c>
      <c r="E1" s="14" t="s">
        <v>204</v>
      </c>
      <c r="F1" t="s">
        <v>216</v>
      </c>
      <c r="G1" t="s">
        <v>217</v>
      </c>
      <c r="H1" t="s">
        <v>218</v>
      </c>
      <c r="J1" s="42" t="s">
        <v>65</v>
      </c>
      <c r="K1" s="42" t="s">
        <v>219</v>
      </c>
    </row>
    <row r="2" spans="1:11" ht="15" customHeight="1" x14ac:dyDescent="0.25">
      <c r="A2" t="s">
        <v>220</v>
      </c>
      <c r="B2">
        <v>1</v>
      </c>
      <c r="C2" t="s">
        <v>131</v>
      </c>
      <c r="D2" t="s">
        <v>221</v>
      </c>
      <c r="E2" t="s">
        <v>222</v>
      </c>
      <c r="F2" t="s">
        <v>105</v>
      </c>
      <c r="G2">
        <v>1</v>
      </c>
      <c r="H2" s="53"/>
      <c r="J2">
        <v>1</v>
      </c>
      <c r="K2">
        <v>1</v>
      </c>
    </row>
    <row r="3" spans="1:11" ht="15" customHeight="1" x14ac:dyDescent="0.25">
      <c r="A3" t="s">
        <v>223</v>
      </c>
      <c r="B3">
        <v>2</v>
      </c>
      <c r="C3" t="s">
        <v>132</v>
      </c>
      <c r="D3" t="s">
        <v>224</v>
      </c>
      <c r="E3" t="s">
        <v>147</v>
      </c>
      <c r="F3" t="s">
        <v>225</v>
      </c>
      <c r="G3">
        <v>2</v>
      </c>
      <c r="H3" s="53"/>
      <c r="J3">
        <v>2</v>
      </c>
      <c r="K3">
        <v>2</v>
      </c>
    </row>
    <row r="4" spans="1:11" ht="15" customHeight="1" x14ac:dyDescent="0.25">
      <c r="A4" t="s">
        <v>226</v>
      </c>
      <c r="B4">
        <v>3</v>
      </c>
      <c r="D4" t="s">
        <v>227</v>
      </c>
      <c r="E4" t="s">
        <v>228</v>
      </c>
      <c r="F4" t="s">
        <v>229</v>
      </c>
      <c r="G4">
        <v>3</v>
      </c>
      <c r="H4" s="53"/>
      <c r="J4">
        <v>4</v>
      </c>
      <c r="K4">
        <v>3</v>
      </c>
    </row>
    <row r="5" spans="1:11" ht="15" customHeight="1" x14ac:dyDescent="0.25">
      <c r="B5">
        <v>4</v>
      </c>
      <c r="D5" t="s">
        <v>230</v>
      </c>
      <c r="E5" t="s">
        <v>231</v>
      </c>
      <c r="G5">
        <v>4</v>
      </c>
      <c r="H5" s="53"/>
      <c r="J5">
        <v>3</v>
      </c>
      <c r="K5">
        <v>4</v>
      </c>
    </row>
    <row r="6" spans="1:11" ht="15" customHeight="1" x14ac:dyDescent="0.25">
      <c r="B6">
        <v>5</v>
      </c>
      <c r="E6" t="s">
        <v>232</v>
      </c>
      <c r="G6">
        <v>5</v>
      </c>
      <c r="H6" s="53"/>
      <c r="J6">
        <v>5</v>
      </c>
      <c r="K6">
        <v>5</v>
      </c>
    </row>
    <row r="7" spans="1:11" ht="15" customHeight="1" x14ac:dyDescent="0.25">
      <c r="E7" t="s">
        <v>233</v>
      </c>
    </row>
    <row r="8" spans="1:11" ht="15" customHeight="1" x14ac:dyDescent="0.25">
      <c r="E8" t="s">
        <v>149</v>
      </c>
    </row>
    <row r="9" spans="1:11" ht="15" customHeight="1" x14ac:dyDescent="0.25">
      <c r="E9" t="s">
        <v>234</v>
      </c>
    </row>
    <row r="10" spans="1:11" ht="15" customHeight="1" x14ac:dyDescent="0.25">
      <c r="E10" t="s">
        <v>235</v>
      </c>
    </row>
    <row r="11" spans="1:11" ht="15" customHeight="1" x14ac:dyDescent="0.25">
      <c r="E11" t="s">
        <v>236</v>
      </c>
    </row>
    <row r="12" spans="1:11" ht="15" customHeight="1" x14ac:dyDescent="0.25">
      <c r="E12" t="s">
        <v>171</v>
      </c>
    </row>
    <row r="13" spans="1:11" ht="15" customHeight="1" x14ac:dyDescent="0.25">
      <c r="E13" t="s">
        <v>237</v>
      </c>
    </row>
    <row r="14" spans="1:11" ht="15" customHeight="1" x14ac:dyDescent="0.25">
      <c r="E14" t="s">
        <v>238</v>
      </c>
    </row>
    <row r="15" spans="1:11" ht="15" customHeight="1" x14ac:dyDescent="0.25">
      <c r="E15" t="s">
        <v>239</v>
      </c>
    </row>
    <row r="16" spans="1:11" ht="15" customHeight="1" x14ac:dyDescent="0.25">
      <c r="E16" t="s">
        <v>240</v>
      </c>
    </row>
    <row r="17" spans="5:5" ht="15" customHeight="1" x14ac:dyDescent="0.25">
      <c r="E17" t="s">
        <v>241</v>
      </c>
    </row>
    <row r="18" spans="5:5" ht="15" customHeight="1" x14ac:dyDescent="0.25">
      <c r="E18" t="s">
        <v>242</v>
      </c>
    </row>
    <row r="19" spans="5:5" ht="15" customHeight="1" x14ac:dyDescent="0.25">
      <c r="E19" t="s">
        <v>243</v>
      </c>
    </row>
    <row r="20" spans="5:5" ht="15" customHeight="1" x14ac:dyDescent="0.25">
      <c r="E20" t="s">
        <v>244</v>
      </c>
    </row>
    <row r="21" spans="5:5" ht="15" customHeight="1" x14ac:dyDescent="0.25">
      <c r="E21" t="s">
        <v>245</v>
      </c>
    </row>
    <row r="22" spans="5:5" ht="15" customHeight="1" x14ac:dyDescent="0.25">
      <c r="E22" t="s">
        <v>246</v>
      </c>
    </row>
    <row r="23" spans="5:5" ht="15" customHeight="1" x14ac:dyDescent="0.25">
      <c r="E23" t="s">
        <v>138</v>
      </c>
    </row>
    <row r="24" spans="5:5" ht="15" customHeight="1" x14ac:dyDescent="0.25">
      <c r="E24" t="s">
        <v>247</v>
      </c>
    </row>
    <row r="25" spans="5:5" ht="15" customHeight="1" x14ac:dyDescent="0.25">
      <c r="E25" t="s">
        <v>248</v>
      </c>
    </row>
    <row r="26" spans="5:5" ht="15" customHeight="1" x14ac:dyDescent="0.25">
      <c r="E26" t="s">
        <v>140</v>
      </c>
    </row>
    <row r="27" spans="5:5" ht="15" customHeight="1" x14ac:dyDescent="0.25">
      <c r="E27" t="s">
        <v>249</v>
      </c>
    </row>
    <row r="28" spans="5:5" ht="15" customHeight="1" x14ac:dyDescent="0.25">
      <c r="E28" t="s">
        <v>151</v>
      </c>
    </row>
    <row r="29" spans="5:5" ht="15" customHeight="1" x14ac:dyDescent="0.25">
      <c r="E29" t="s">
        <v>250</v>
      </c>
    </row>
    <row r="30" spans="5:5" ht="15" customHeight="1" x14ac:dyDescent="0.25">
      <c r="E30" t="s">
        <v>251</v>
      </c>
    </row>
    <row r="31" spans="5:5" ht="15" customHeight="1" x14ac:dyDescent="0.25">
      <c r="E31" t="s">
        <v>252</v>
      </c>
    </row>
    <row r="32" spans="5:5" ht="15" customHeight="1" x14ac:dyDescent="0.25">
      <c r="E32" t="s">
        <v>253</v>
      </c>
    </row>
    <row r="33" spans="5:5" ht="15" customHeight="1" x14ac:dyDescent="0.25">
      <c r="E33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B72"/>
  <sheetViews>
    <sheetView topLeftCell="C1" zoomScale="130" zoomScaleNormal="130" workbookViewId="0">
      <selection activeCell="X2" sqref="X2"/>
    </sheetView>
  </sheetViews>
  <sheetFormatPr defaultColWidth="9.140625" defaultRowHeight="15" x14ac:dyDescent="0.25"/>
  <cols>
    <col min="2" max="2" width="23.85546875" customWidth="1"/>
    <col min="3" max="3" width="29.28515625" customWidth="1"/>
    <col min="4" max="4" width="14.140625" customWidth="1"/>
    <col min="5" max="5" width="18.5703125" customWidth="1"/>
    <col min="6" max="6" width="33.85546875" customWidth="1"/>
    <col min="7" max="7" width="14.140625" customWidth="1"/>
    <col min="8" max="8" width="23.28515625" customWidth="1"/>
    <col min="9" max="9" width="27.42578125" customWidth="1"/>
    <col min="12" max="13" width="11.5703125" hidden="1" customWidth="1"/>
    <col min="14" max="14" width="34.140625" hidden="1" customWidth="1"/>
    <col min="15" max="15" width="11.5703125" hidden="1" customWidth="1"/>
    <col min="16" max="16" width="28.42578125" hidden="1" customWidth="1"/>
    <col min="17" max="17" width="23.5703125" hidden="1" customWidth="1"/>
    <col min="18" max="18" width="31.5703125" hidden="1" customWidth="1"/>
    <col min="19" max="19" width="44.140625" hidden="1" customWidth="1"/>
    <col min="20" max="21" width="11.5703125" hidden="1" customWidth="1"/>
    <col min="22" max="22" width="18.85546875" customWidth="1"/>
    <col min="23" max="23" width="19.42578125" customWidth="1"/>
    <col min="24" max="24" width="33.7109375" customWidth="1"/>
    <col min="25" max="25" width="6.28515625" customWidth="1"/>
    <col min="26" max="26" width="9.5703125" customWidth="1"/>
    <col min="27" max="27" width="30.7109375" customWidth="1"/>
    <col min="28" max="28" width="6.28515625" customWidth="1"/>
  </cols>
  <sheetData>
    <row r="1" spans="2:28" ht="15.75" customHeight="1" x14ac:dyDescent="0.3">
      <c r="B1" s="115" t="s">
        <v>358</v>
      </c>
      <c r="C1" s="115"/>
      <c r="D1" s="115"/>
      <c r="E1" s="115"/>
      <c r="F1" s="115"/>
      <c r="G1" s="115"/>
      <c r="H1" s="115"/>
      <c r="I1" s="115"/>
      <c r="P1" s="70"/>
      <c r="Q1" s="71"/>
      <c r="R1" s="71"/>
      <c r="S1" s="72"/>
      <c r="T1" s="72"/>
      <c r="U1" s="72"/>
      <c r="X1" s="124" t="s">
        <v>420</v>
      </c>
      <c r="Y1" s="124"/>
      <c r="Z1" s="124"/>
      <c r="AA1" s="124"/>
      <c r="AB1" s="124"/>
    </row>
    <row r="2" spans="2:28" ht="15.75" customHeight="1" x14ac:dyDescent="0.25">
      <c r="B2" s="116" t="s">
        <v>262</v>
      </c>
      <c r="C2" s="116"/>
      <c r="D2" s="116"/>
      <c r="E2" s="116"/>
      <c r="F2" s="116"/>
      <c r="G2" s="116"/>
      <c r="H2" s="116"/>
      <c r="I2" s="116"/>
      <c r="P2" s="73"/>
      <c r="Q2" s="74"/>
      <c r="R2" s="75"/>
      <c r="S2" s="76"/>
      <c r="T2" s="77"/>
      <c r="U2" s="78"/>
      <c r="X2" s="125" t="s">
        <v>359</v>
      </c>
      <c r="Y2" s="125" t="s">
        <v>215</v>
      </c>
      <c r="Z2" s="125" t="s">
        <v>360</v>
      </c>
      <c r="AA2" s="125" t="s">
        <v>359</v>
      </c>
      <c r="AB2" s="125" t="s">
        <v>215</v>
      </c>
    </row>
    <row r="3" spans="2:28" ht="15" customHeight="1" x14ac:dyDescent="0.25">
      <c r="B3" s="117" t="s">
        <v>264</v>
      </c>
      <c r="C3" s="117"/>
      <c r="D3" s="79"/>
      <c r="E3" s="117" t="s">
        <v>265</v>
      </c>
      <c r="F3" s="117"/>
      <c r="G3" s="80"/>
      <c r="H3" s="117" t="s">
        <v>118</v>
      </c>
      <c r="I3" s="117"/>
      <c r="N3" s="81"/>
      <c r="P3" s="74"/>
      <c r="Q3" s="74"/>
      <c r="R3" s="82"/>
      <c r="S3" s="76"/>
      <c r="T3" s="83"/>
      <c r="U3" s="78"/>
      <c r="X3" s="126" t="s">
        <v>361</v>
      </c>
      <c r="Y3" s="126"/>
      <c r="Z3" s="127">
        <v>945</v>
      </c>
      <c r="AA3" s="126" t="s">
        <v>362</v>
      </c>
      <c r="AB3" s="126"/>
    </row>
    <row r="4" spans="2:28" ht="15" customHeight="1" x14ac:dyDescent="0.25">
      <c r="B4" s="84" t="s">
        <v>130</v>
      </c>
      <c r="C4" s="85" t="s">
        <v>129</v>
      </c>
      <c r="D4" s="80"/>
      <c r="E4" s="84" t="s">
        <v>130</v>
      </c>
      <c r="F4" s="84" t="s">
        <v>145</v>
      </c>
      <c r="G4" s="80"/>
      <c r="H4" s="84" t="s">
        <v>130</v>
      </c>
      <c r="I4" s="85" t="s">
        <v>270</v>
      </c>
      <c r="N4" s="86"/>
      <c r="P4" s="87"/>
      <c r="Q4" s="74"/>
      <c r="R4" s="88"/>
      <c r="S4" s="76"/>
      <c r="T4" s="83"/>
      <c r="U4" s="78"/>
      <c r="X4" s="126" t="s">
        <v>363</v>
      </c>
      <c r="Y4" s="126"/>
      <c r="Z4" s="127">
        <v>948</v>
      </c>
      <c r="AA4" s="126" t="s">
        <v>364</v>
      </c>
      <c r="AB4" s="126"/>
    </row>
    <row r="5" spans="2:28" ht="15.75" customHeight="1" x14ac:dyDescent="0.25">
      <c r="B5" s="84" t="s">
        <v>147</v>
      </c>
      <c r="C5" s="89" t="s">
        <v>190</v>
      </c>
      <c r="D5" s="90"/>
      <c r="E5" s="84" t="s">
        <v>147</v>
      </c>
      <c r="F5" s="85" t="s">
        <v>274</v>
      </c>
      <c r="G5" s="80"/>
      <c r="H5" s="84" t="s">
        <v>147</v>
      </c>
      <c r="I5" s="85" t="s">
        <v>275</v>
      </c>
      <c r="N5" s="91"/>
      <c r="P5" s="74"/>
      <c r="Q5" s="74"/>
      <c r="R5" s="88"/>
      <c r="S5" s="76"/>
      <c r="T5" s="83"/>
      <c r="U5" s="78"/>
      <c r="X5" s="126" t="s">
        <v>365</v>
      </c>
      <c r="Y5" s="126"/>
      <c r="Z5" s="127">
        <v>952</v>
      </c>
      <c r="AA5" s="126" t="s">
        <v>366</v>
      </c>
      <c r="AB5" s="126"/>
    </row>
    <row r="6" spans="2:28" ht="15" customHeight="1" x14ac:dyDescent="0.25">
      <c r="B6" s="84" t="s">
        <v>134</v>
      </c>
      <c r="C6" s="85" t="s">
        <v>133</v>
      </c>
      <c r="D6" s="80"/>
      <c r="E6" s="84" t="s">
        <v>233</v>
      </c>
      <c r="F6" s="89" t="s">
        <v>344</v>
      </c>
      <c r="G6" s="90"/>
      <c r="H6" s="84" t="s">
        <v>134</v>
      </c>
      <c r="I6" s="84" t="s">
        <v>161</v>
      </c>
      <c r="N6" s="92"/>
      <c r="P6" s="93"/>
      <c r="Q6" s="74"/>
      <c r="R6" s="88"/>
      <c r="S6" s="76"/>
      <c r="T6" s="83"/>
      <c r="U6" s="78"/>
      <c r="X6" s="126" t="s">
        <v>367</v>
      </c>
      <c r="Y6" s="126"/>
      <c r="Z6" s="127">
        <v>957</v>
      </c>
      <c r="AA6" s="126" t="s">
        <v>368</v>
      </c>
      <c r="AB6" s="126"/>
    </row>
    <row r="7" spans="2:28" ht="15" customHeight="1" x14ac:dyDescent="0.25">
      <c r="B7" s="84" t="s">
        <v>136</v>
      </c>
      <c r="C7" s="118" t="s">
        <v>345</v>
      </c>
      <c r="D7" s="80"/>
      <c r="E7" s="84" t="s">
        <v>149</v>
      </c>
      <c r="F7" s="84" t="s">
        <v>279</v>
      </c>
      <c r="G7" s="80"/>
      <c r="H7" s="84" t="s">
        <v>136</v>
      </c>
      <c r="I7" s="84" t="s">
        <v>162</v>
      </c>
      <c r="N7" s="94"/>
      <c r="P7" s="93"/>
      <c r="Q7" s="74"/>
      <c r="R7" s="88"/>
      <c r="S7" s="76"/>
      <c r="T7" s="83"/>
      <c r="U7" s="78"/>
      <c r="X7" s="126" t="s">
        <v>369</v>
      </c>
      <c r="Y7" s="126"/>
      <c r="Z7" s="127">
        <v>965</v>
      </c>
      <c r="AA7" s="126" t="s">
        <v>370</v>
      </c>
      <c r="AB7" s="126"/>
    </row>
    <row r="8" spans="2:28" ht="15" customHeight="1" x14ac:dyDescent="0.25">
      <c r="B8" s="84" t="s">
        <v>138</v>
      </c>
      <c r="C8" s="85" t="s">
        <v>282</v>
      </c>
      <c r="D8" s="80"/>
      <c r="E8" s="84" t="s">
        <v>151</v>
      </c>
      <c r="F8" s="85" t="s">
        <v>150</v>
      </c>
      <c r="G8" s="80"/>
      <c r="H8" s="84" t="s">
        <v>138</v>
      </c>
      <c r="I8" s="118" t="s">
        <v>347</v>
      </c>
      <c r="N8" s="95"/>
      <c r="P8" s="93"/>
      <c r="Q8" s="74"/>
      <c r="R8" s="88"/>
      <c r="S8" s="76"/>
      <c r="T8" s="83"/>
      <c r="U8" s="78"/>
      <c r="X8" s="126" t="s">
        <v>154</v>
      </c>
      <c r="Y8" s="126"/>
      <c r="Z8" s="127">
        <v>974</v>
      </c>
      <c r="AA8" s="126" t="s">
        <v>371</v>
      </c>
      <c r="AB8" s="126"/>
    </row>
    <row r="9" spans="2:28" ht="15" customHeight="1" x14ac:dyDescent="0.25">
      <c r="B9" s="84" t="s">
        <v>286</v>
      </c>
      <c r="C9" s="84" t="s">
        <v>287</v>
      </c>
      <c r="D9" s="80"/>
      <c r="E9" s="85" t="s">
        <v>153</v>
      </c>
      <c r="F9" s="85" t="s">
        <v>152</v>
      </c>
      <c r="G9" s="80"/>
      <c r="H9" s="84" t="s">
        <v>140</v>
      </c>
      <c r="I9" s="84" t="s">
        <v>164</v>
      </c>
      <c r="M9" s="96"/>
      <c r="N9" s="96"/>
      <c r="P9" s="93"/>
      <c r="Q9" s="74"/>
      <c r="R9" s="88"/>
      <c r="S9" s="76"/>
      <c r="T9" s="83"/>
      <c r="U9" s="78"/>
      <c r="X9" s="126" t="s">
        <v>372</v>
      </c>
      <c r="Y9" s="126"/>
      <c r="Z9" s="127">
        <v>980</v>
      </c>
      <c r="AA9" s="126" t="s">
        <v>177</v>
      </c>
      <c r="AB9" s="126"/>
    </row>
    <row r="10" spans="2:28" ht="15" customHeight="1" x14ac:dyDescent="0.25">
      <c r="B10" s="84" t="s">
        <v>142</v>
      </c>
      <c r="C10" s="85" t="s">
        <v>291</v>
      </c>
      <c r="D10" s="80"/>
      <c r="E10" s="84" t="s">
        <v>140</v>
      </c>
      <c r="F10" s="84" t="s">
        <v>273</v>
      </c>
      <c r="G10" s="80"/>
      <c r="H10" s="84" t="s">
        <v>142</v>
      </c>
      <c r="I10" s="84" t="s">
        <v>165</v>
      </c>
      <c r="N10" s="97"/>
      <c r="P10" s="98"/>
      <c r="Q10" s="87"/>
      <c r="R10" s="99"/>
      <c r="S10" s="76"/>
      <c r="T10" s="100"/>
      <c r="U10" s="78"/>
      <c r="X10" s="126" t="s">
        <v>373</v>
      </c>
      <c r="Y10" s="126"/>
      <c r="Z10" s="127">
        <v>981</v>
      </c>
      <c r="AA10" s="126" t="s">
        <v>374</v>
      </c>
      <c r="AB10" s="126"/>
    </row>
    <row r="11" spans="2:28" ht="15" customHeight="1" x14ac:dyDescent="0.25">
      <c r="B11" s="84" t="s">
        <v>239</v>
      </c>
      <c r="C11" s="89" t="s">
        <v>342</v>
      </c>
      <c r="D11" s="80"/>
      <c r="E11" s="84" t="s">
        <v>142</v>
      </c>
      <c r="F11" s="84" t="s">
        <v>294</v>
      </c>
      <c r="G11" s="80"/>
      <c r="H11" s="84" t="s">
        <v>144</v>
      </c>
      <c r="I11" s="101"/>
      <c r="M11" s="102"/>
      <c r="N11" s="102"/>
      <c r="P11" s="98"/>
      <c r="Q11" s="87"/>
      <c r="R11" s="99"/>
      <c r="S11" s="76"/>
      <c r="T11" s="100"/>
      <c r="U11" s="78"/>
      <c r="X11" s="126" t="s">
        <v>176</v>
      </c>
      <c r="Y11" s="126"/>
      <c r="Z11" s="127">
        <v>985</v>
      </c>
      <c r="AA11" s="126" t="s">
        <v>375</v>
      </c>
      <c r="AB11" s="126"/>
    </row>
    <row r="12" spans="2:28" ht="15" customHeight="1" x14ac:dyDescent="0.25">
      <c r="B12" s="84" t="s">
        <v>144</v>
      </c>
      <c r="C12" s="103" t="s">
        <v>299</v>
      </c>
      <c r="D12" s="80"/>
      <c r="E12" s="84" t="s">
        <v>144</v>
      </c>
      <c r="F12" s="101" t="s">
        <v>156</v>
      </c>
      <c r="G12" s="80"/>
      <c r="H12" s="84" t="s">
        <v>300</v>
      </c>
      <c r="I12" s="89"/>
      <c r="P12" s="98"/>
      <c r="Q12" s="87"/>
      <c r="R12" s="99"/>
      <c r="S12" s="76"/>
      <c r="T12" s="100"/>
      <c r="U12" s="78"/>
      <c r="X12" s="126" t="s">
        <v>156</v>
      </c>
      <c r="Y12" s="126"/>
      <c r="Z12" s="127">
        <v>987</v>
      </c>
      <c r="AA12" s="126" t="s">
        <v>170</v>
      </c>
      <c r="AB12" s="126"/>
    </row>
    <row r="13" spans="2:28" ht="15" customHeight="1" x14ac:dyDescent="0.25">
      <c r="B13" s="84" t="s">
        <v>153</v>
      </c>
      <c r="C13" s="104" t="s">
        <v>343</v>
      </c>
      <c r="D13" s="80"/>
      <c r="E13" s="84" t="s">
        <v>158</v>
      </c>
      <c r="F13" s="105"/>
      <c r="G13" s="80"/>
      <c r="H13" s="84" t="s">
        <v>168</v>
      </c>
      <c r="I13" s="85"/>
      <c r="P13" s="98"/>
      <c r="Q13" s="87"/>
      <c r="R13" s="99"/>
      <c r="S13" s="76"/>
      <c r="T13" s="100"/>
      <c r="U13" s="78"/>
      <c r="X13" s="126" t="s">
        <v>301</v>
      </c>
      <c r="Y13" s="126"/>
      <c r="Z13" s="127">
        <v>991</v>
      </c>
      <c r="AA13" s="126" t="s">
        <v>376</v>
      </c>
      <c r="AB13" s="126"/>
    </row>
    <row r="14" spans="2:28" ht="15" customHeight="1" x14ac:dyDescent="0.25">
      <c r="B14" s="84"/>
      <c r="C14" s="104"/>
      <c r="D14" s="80"/>
      <c r="E14" s="84"/>
      <c r="F14" s="85"/>
      <c r="G14" s="80"/>
      <c r="H14" s="80"/>
      <c r="I14" s="80"/>
      <c r="P14" s="84"/>
      <c r="Q14" s="84"/>
      <c r="R14" s="99"/>
      <c r="S14" s="76"/>
      <c r="T14" s="100"/>
      <c r="U14" s="78"/>
      <c r="X14" s="126" t="s">
        <v>336</v>
      </c>
      <c r="Y14" s="126"/>
      <c r="Z14" s="127">
        <v>993</v>
      </c>
      <c r="AA14" s="126" t="s">
        <v>175</v>
      </c>
      <c r="AB14" s="126"/>
    </row>
    <row r="15" spans="2:28" ht="15" customHeight="1" x14ac:dyDescent="0.25">
      <c r="D15" s="80"/>
      <c r="E15" s="80" t="s">
        <v>303</v>
      </c>
      <c r="F15" s="80"/>
      <c r="G15" s="80"/>
      <c r="H15" s="80"/>
      <c r="I15" s="80"/>
      <c r="P15" s="84"/>
      <c r="Q15" s="84"/>
      <c r="R15" s="106"/>
      <c r="S15" s="76"/>
      <c r="T15" s="100"/>
      <c r="U15" s="78"/>
      <c r="V15" s="129" t="s">
        <v>319</v>
      </c>
      <c r="W15" s="129" t="s">
        <v>412</v>
      </c>
      <c r="X15" s="126" t="s">
        <v>161</v>
      </c>
      <c r="Y15" s="126"/>
      <c r="Z15" s="127">
        <v>994</v>
      </c>
      <c r="AA15" s="126" t="s">
        <v>377</v>
      </c>
      <c r="AB15" s="126"/>
    </row>
    <row r="16" spans="2:28" ht="15" customHeight="1" x14ac:dyDescent="0.25">
      <c r="D16" s="80"/>
      <c r="E16" s="80" t="s">
        <v>303</v>
      </c>
      <c r="F16" s="80"/>
      <c r="G16" s="80"/>
      <c r="P16" s="78"/>
      <c r="Q16" s="78"/>
      <c r="R16" s="99"/>
      <c r="S16" s="76"/>
      <c r="U16" s="78"/>
      <c r="V16" t="s">
        <v>308</v>
      </c>
      <c r="W16" t="s">
        <v>197</v>
      </c>
      <c r="X16" s="126" t="s">
        <v>378</v>
      </c>
      <c r="Y16" s="126"/>
      <c r="Z16" s="127">
        <v>999</v>
      </c>
      <c r="AA16" s="126" t="s">
        <v>379</v>
      </c>
      <c r="AB16" s="126"/>
    </row>
    <row r="17" spans="2:28" ht="15.75" customHeight="1" x14ac:dyDescent="0.25">
      <c r="D17" s="80"/>
      <c r="E17" s="80" t="s">
        <v>303</v>
      </c>
      <c r="F17" s="91" t="s">
        <v>276</v>
      </c>
      <c r="G17" s="80"/>
      <c r="P17" s="107"/>
      <c r="Q17" s="107"/>
      <c r="R17" s="99"/>
      <c r="S17" s="108"/>
      <c r="U17" s="78"/>
      <c r="V17" t="s">
        <v>329</v>
      </c>
      <c r="W17" t="s">
        <v>336</v>
      </c>
      <c r="X17" s="126" t="s">
        <v>164</v>
      </c>
      <c r="Y17" s="126"/>
      <c r="Z17" s="127">
        <v>1001</v>
      </c>
      <c r="AA17" s="126" t="s">
        <v>380</v>
      </c>
      <c r="AB17" s="126"/>
    </row>
    <row r="18" spans="2:28" ht="15" customHeight="1" x14ac:dyDescent="0.25">
      <c r="D18" s="80"/>
      <c r="E18" s="81" t="s">
        <v>267</v>
      </c>
      <c r="F18" s="92" t="s">
        <v>278</v>
      </c>
      <c r="P18" s="78"/>
      <c r="Q18" s="78"/>
      <c r="R18" s="76"/>
      <c r="S18" s="76"/>
      <c r="T18" s="78"/>
      <c r="U18" s="78"/>
      <c r="V18" t="s">
        <v>334</v>
      </c>
      <c r="X18" s="126" t="s">
        <v>381</v>
      </c>
      <c r="Y18" s="126"/>
      <c r="Z18" s="127">
        <v>1003</v>
      </c>
      <c r="AA18" s="126" t="s">
        <v>382</v>
      </c>
      <c r="AB18" s="126"/>
    </row>
    <row r="19" spans="2:28" ht="15" customHeight="1" x14ac:dyDescent="0.25">
      <c r="D19" s="80"/>
      <c r="E19" s="80" t="s">
        <v>303</v>
      </c>
      <c r="F19" s="80"/>
      <c r="G19" s="80"/>
      <c r="P19" s="78"/>
      <c r="Q19" s="78"/>
      <c r="R19" s="99"/>
      <c r="S19" s="76"/>
      <c r="U19" s="78"/>
      <c r="V19" t="s">
        <v>283</v>
      </c>
      <c r="X19" s="126" t="s">
        <v>352</v>
      </c>
      <c r="Y19" s="126"/>
      <c r="Z19" s="127">
        <v>1004</v>
      </c>
      <c r="AA19" s="126" t="s">
        <v>383</v>
      </c>
      <c r="AB19" s="126"/>
    </row>
    <row r="20" spans="2:28" ht="15.75" customHeight="1" x14ac:dyDescent="0.25">
      <c r="B20" s="80"/>
      <c r="C20" s="80"/>
      <c r="D20" s="80"/>
      <c r="E20" s="84" t="s">
        <v>306</v>
      </c>
      <c r="F20" s="84" t="s">
        <v>307</v>
      </c>
      <c r="G20" s="80"/>
      <c r="P20" s="78"/>
      <c r="Q20" s="78"/>
      <c r="R20" s="99"/>
      <c r="S20" s="108"/>
      <c r="U20" s="107"/>
      <c r="X20" s="126" t="s">
        <v>384</v>
      </c>
      <c r="Y20" s="126"/>
      <c r="Z20" s="127">
        <v>1006</v>
      </c>
      <c r="AA20" s="126" t="s">
        <v>334</v>
      </c>
      <c r="AB20" s="126"/>
    </row>
    <row r="21" spans="2:28" ht="15" customHeight="1" x14ac:dyDescent="0.25">
      <c r="B21" s="80"/>
      <c r="C21" s="80"/>
      <c r="D21" s="80"/>
      <c r="E21" s="80"/>
      <c r="F21" s="80"/>
      <c r="G21" s="80"/>
      <c r="P21" s="78"/>
      <c r="Q21" s="78"/>
      <c r="R21" s="99"/>
      <c r="S21" s="76"/>
      <c r="U21" s="78"/>
      <c r="V21" t="s">
        <v>178</v>
      </c>
      <c r="X21" s="126" t="s">
        <v>385</v>
      </c>
      <c r="Y21" s="126"/>
      <c r="Z21" s="127">
        <v>1006.1</v>
      </c>
      <c r="AA21" s="126" t="s">
        <v>180</v>
      </c>
      <c r="AB21" s="126"/>
    </row>
    <row r="22" spans="2:28" ht="15" customHeight="1" x14ac:dyDescent="0.25">
      <c r="B22" s="80"/>
      <c r="C22" s="80"/>
      <c r="D22" s="80"/>
      <c r="E22" s="80"/>
      <c r="F22" s="80"/>
      <c r="G22" s="80"/>
      <c r="P22" s="78"/>
      <c r="Q22" s="78"/>
      <c r="R22" s="99"/>
      <c r="S22" s="76"/>
      <c r="U22" s="78"/>
      <c r="V22" t="s">
        <v>338</v>
      </c>
      <c r="X22" s="126" t="s">
        <v>308</v>
      </c>
      <c r="Y22" s="126"/>
      <c r="Z22" s="127">
        <v>1007</v>
      </c>
      <c r="AA22" s="126" t="s">
        <v>137</v>
      </c>
      <c r="AB22" s="126"/>
    </row>
    <row r="23" spans="2:28" ht="15.75" customHeight="1" x14ac:dyDescent="0.25">
      <c r="B23" s="80"/>
      <c r="C23" s="80"/>
      <c r="D23" s="80"/>
      <c r="E23" s="80"/>
      <c r="F23" s="80"/>
      <c r="G23" s="80"/>
      <c r="P23" s="78"/>
      <c r="Q23" s="78"/>
      <c r="R23" s="99"/>
      <c r="S23" s="76"/>
      <c r="U23" s="78"/>
      <c r="V23" t="s">
        <v>339</v>
      </c>
      <c r="X23" s="126" t="s">
        <v>386</v>
      </c>
      <c r="Y23" s="126"/>
      <c r="Z23" s="127">
        <v>1007.1</v>
      </c>
      <c r="AA23" s="126" t="s">
        <v>387</v>
      </c>
      <c r="AB23" s="126"/>
    </row>
    <row r="24" spans="2:28" ht="15" customHeight="1" x14ac:dyDescent="0.25">
      <c r="B24" s="117" t="s">
        <v>119</v>
      </c>
      <c r="C24" s="117"/>
      <c r="D24" s="80"/>
      <c r="E24" s="117" t="s">
        <v>120</v>
      </c>
      <c r="F24" s="117"/>
      <c r="G24" s="80"/>
      <c r="P24" s="78"/>
      <c r="Q24" s="78"/>
      <c r="R24" s="99"/>
      <c r="S24" s="76"/>
      <c r="U24" s="78"/>
      <c r="X24" s="126" t="s">
        <v>388</v>
      </c>
      <c r="Y24" s="126"/>
      <c r="Z24" s="127">
        <v>1013</v>
      </c>
      <c r="AA24" s="126" t="s">
        <v>389</v>
      </c>
      <c r="AB24" s="126"/>
    </row>
    <row r="25" spans="2:28" ht="15" customHeight="1" x14ac:dyDescent="0.25">
      <c r="B25" s="84" t="s">
        <v>130</v>
      </c>
      <c r="C25" s="84" t="s">
        <v>166</v>
      </c>
      <c r="D25" s="80"/>
      <c r="E25" s="84" t="s">
        <v>130</v>
      </c>
      <c r="F25" s="84" t="s">
        <v>177</v>
      </c>
      <c r="G25" s="80"/>
      <c r="P25" s="78"/>
      <c r="Q25" s="78"/>
      <c r="R25" s="99"/>
      <c r="S25" s="108"/>
      <c r="U25" s="107"/>
      <c r="X25" s="126" t="s">
        <v>390</v>
      </c>
      <c r="Y25" s="126"/>
      <c r="Z25" s="127">
        <v>1016</v>
      </c>
      <c r="AA25" s="126" t="s">
        <v>169</v>
      </c>
      <c r="AB25" s="126"/>
    </row>
    <row r="26" spans="2:28" ht="15" customHeight="1" x14ac:dyDescent="0.25">
      <c r="B26" s="84" t="s">
        <v>168</v>
      </c>
      <c r="C26" s="85" t="s">
        <v>167</v>
      </c>
      <c r="D26" s="80"/>
      <c r="E26" s="84" t="s">
        <v>147</v>
      </c>
      <c r="F26" s="89" t="s">
        <v>135</v>
      </c>
      <c r="G26" s="80"/>
      <c r="P26" s="78"/>
      <c r="Q26" s="78"/>
      <c r="R26" s="76"/>
      <c r="S26" s="76"/>
      <c r="T26" s="78"/>
      <c r="U26" s="78"/>
      <c r="X26" s="126" t="s">
        <v>391</v>
      </c>
      <c r="Y26" s="126"/>
      <c r="Z26" s="127">
        <v>1017</v>
      </c>
      <c r="AA26" s="126" t="s">
        <v>392</v>
      </c>
      <c r="AB26" s="126"/>
    </row>
    <row r="27" spans="2:28" ht="15" customHeight="1" x14ac:dyDescent="0.25">
      <c r="B27" s="84" t="s">
        <v>134</v>
      </c>
      <c r="C27" s="85" t="s">
        <v>290</v>
      </c>
      <c r="D27" s="80"/>
      <c r="E27" s="84" t="s">
        <v>134</v>
      </c>
      <c r="F27" s="84" t="s">
        <v>178</v>
      </c>
      <c r="G27" s="80"/>
      <c r="X27" s="126" t="s">
        <v>393</v>
      </c>
      <c r="Y27" s="126"/>
      <c r="Z27" s="127">
        <v>1019</v>
      </c>
      <c r="AA27" s="126" t="s">
        <v>186</v>
      </c>
      <c r="AB27" s="126"/>
    </row>
    <row r="28" spans="2:28" ht="15" customHeight="1" x14ac:dyDescent="0.25">
      <c r="B28" s="84" t="s">
        <v>171</v>
      </c>
      <c r="C28" s="109" t="s">
        <v>309</v>
      </c>
      <c r="D28" s="80"/>
      <c r="E28" s="84" t="s">
        <v>173</v>
      </c>
      <c r="F28" s="84" t="s">
        <v>179</v>
      </c>
      <c r="G28" s="80"/>
      <c r="X28" s="126" t="s">
        <v>394</v>
      </c>
      <c r="Y28" s="126"/>
      <c r="Z28" s="127">
        <v>1025</v>
      </c>
      <c r="AA28" s="126" t="s">
        <v>395</v>
      </c>
      <c r="AB28" s="126"/>
    </row>
    <row r="29" spans="2:28" ht="15" customHeight="1" x14ac:dyDescent="0.25">
      <c r="B29" s="84" t="s">
        <v>173</v>
      </c>
      <c r="C29" s="85" t="s">
        <v>310</v>
      </c>
      <c r="D29" s="80"/>
      <c r="E29" s="84" t="s">
        <v>311</v>
      </c>
      <c r="F29" s="89" t="s">
        <v>346</v>
      </c>
      <c r="G29" s="80"/>
      <c r="X29" s="126" t="s">
        <v>396</v>
      </c>
      <c r="Y29" s="126"/>
      <c r="Z29" s="127" t="s">
        <v>397</v>
      </c>
      <c r="AA29" s="126" t="s">
        <v>179</v>
      </c>
      <c r="AB29" s="126"/>
    </row>
    <row r="30" spans="2:28" ht="15" customHeight="1" x14ac:dyDescent="0.25">
      <c r="B30" s="84" t="s">
        <v>140</v>
      </c>
      <c r="C30" s="85" t="s">
        <v>312</v>
      </c>
      <c r="D30" s="80"/>
      <c r="E30" s="84" t="s">
        <v>140</v>
      </c>
      <c r="F30" s="105" t="s">
        <v>313</v>
      </c>
      <c r="G30" s="80"/>
      <c r="X30" s="126" t="s">
        <v>398</v>
      </c>
      <c r="Y30" s="126"/>
      <c r="Z30" s="127" t="s">
        <v>397</v>
      </c>
      <c r="AA30" s="126" t="s">
        <v>399</v>
      </c>
      <c r="AB30" s="126"/>
    </row>
    <row r="31" spans="2:28" ht="15.75" customHeight="1" x14ac:dyDescent="0.25">
      <c r="B31" s="84" t="s">
        <v>142</v>
      </c>
      <c r="C31" s="104" t="s">
        <v>314</v>
      </c>
      <c r="D31" s="80"/>
      <c r="E31" s="84" t="s">
        <v>142</v>
      </c>
      <c r="F31" s="85"/>
      <c r="G31" s="80"/>
      <c r="S31" s="110"/>
      <c r="X31" s="126" t="s">
        <v>400</v>
      </c>
      <c r="Y31" s="126"/>
      <c r="Z31" s="127" t="s">
        <v>397</v>
      </c>
      <c r="AA31" s="126" t="s">
        <v>167</v>
      </c>
      <c r="AB31" s="126"/>
    </row>
    <row r="32" spans="2:28" ht="15.75" customHeight="1" x14ac:dyDescent="0.25">
      <c r="B32" s="84" t="s">
        <v>144</v>
      </c>
      <c r="C32" s="101" t="s">
        <v>320</v>
      </c>
      <c r="D32" s="80"/>
      <c r="E32" s="84" t="s">
        <v>144</v>
      </c>
      <c r="F32" s="101"/>
      <c r="G32" s="80"/>
      <c r="S32" s="111"/>
      <c r="X32" s="126" t="s">
        <v>401</v>
      </c>
      <c r="Y32" s="126"/>
      <c r="Z32" s="127" t="s">
        <v>397</v>
      </c>
      <c r="AA32" s="126" t="s">
        <v>402</v>
      </c>
      <c r="AB32" s="126"/>
    </row>
    <row r="33" spans="2:28" ht="15" customHeight="1" x14ac:dyDescent="0.25">
      <c r="B33" s="84" t="s">
        <v>325</v>
      </c>
      <c r="C33" s="85"/>
      <c r="D33" s="80"/>
      <c r="E33" s="84"/>
      <c r="F33" s="85"/>
      <c r="G33" s="80"/>
      <c r="S33" s="112"/>
      <c r="X33" s="126" t="s">
        <v>403</v>
      </c>
      <c r="Y33" s="126"/>
      <c r="Z33" s="127" t="s">
        <v>397</v>
      </c>
      <c r="AA33" s="126" t="s">
        <v>404</v>
      </c>
      <c r="AB33" s="126"/>
    </row>
    <row r="34" spans="2:28" ht="15.75" customHeight="1" x14ac:dyDescent="0.3">
      <c r="B34" s="84" t="s">
        <v>330</v>
      </c>
      <c r="C34" s="85"/>
      <c r="D34" s="80"/>
      <c r="E34" s="84" t="s">
        <v>331</v>
      </c>
      <c r="F34" s="85"/>
      <c r="G34" s="80"/>
      <c r="H34" s="80"/>
      <c r="I34" s="80"/>
      <c r="S34" s="111"/>
      <c r="X34" s="126" t="s">
        <v>405</v>
      </c>
      <c r="Y34" s="126"/>
      <c r="Z34" s="127" t="s">
        <v>397</v>
      </c>
      <c r="AA34" s="128" t="s">
        <v>197</v>
      </c>
      <c r="AB34" s="126"/>
    </row>
    <row r="35" spans="2:28" ht="15.75" customHeight="1" x14ac:dyDescent="0.3">
      <c r="B35" s="120"/>
      <c r="C35" s="120"/>
      <c r="D35" s="120"/>
      <c r="E35" s="120"/>
      <c r="F35" s="120"/>
      <c r="G35" s="120"/>
      <c r="H35" s="120"/>
      <c r="I35" s="80"/>
      <c r="S35" s="111"/>
      <c r="X35" s="126" t="s">
        <v>406</v>
      </c>
      <c r="Y35" s="126"/>
      <c r="Z35" s="127" t="s">
        <v>397</v>
      </c>
      <c r="AA35" s="128" t="s">
        <v>407</v>
      </c>
      <c r="AB35" s="126"/>
    </row>
    <row r="36" spans="2:28" ht="15.75" customHeight="1" x14ac:dyDescent="0.3">
      <c r="B36" s="120"/>
      <c r="C36" s="120"/>
      <c r="D36" s="120"/>
      <c r="E36" s="120"/>
      <c r="F36" s="120"/>
      <c r="G36" s="120"/>
      <c r="H36" s="120"/>
      <c r="I36" s="80"/>
      <c r="S36" s="111"/>
      <c r="X36" s="128" t="s">
        <v>408</v>
      </c>
      <c r="Y36" s="78"/>
      <c r="Z36" s="127" t="s">
        <v>397</v>
      </c>
      <c r="AA36" s="128" t="s">
        <v>409</v>
      </c>
      <c r="AB36" s="126"/>
    </row>
    <row r="37" spans="2:28" ht="15.75" customHeight="1" x14ac:dyDescent="0.3">
      <c r="B37" s="113"/>
      <c r="C37" s="113"/>
      <c r="D37" s="113"/>
      <c r="E37" s="113"/>
      <c r="F37" s="113"/>
      <c r="G37" s="113"/>
      <c r="H37" s="113"/>
      <c r="I37" s="80"/>
      <c r="S37" s="112"/>
      <c r="X37" s="128" t="s">
        <v>410</v>
      </c>
      <c r="Y37" s="78"/>
      <c r="Z37" s="127" t="s">
        <v>397</v>
      </c>
      <c r="AA37" s="128" t="s">
        <v>411</v>
      </c>
      <c r="AB37" s="126"/>
    </row>
    <row r="38" spans="2:28" ht="15.75" customHeight="1" thickBot="1" x14ac:dyDescent="0.35">
      <c r="B38" s="113"/>
      <c r="C38" s="80"/>
      <c r="D38" s="80"/>
      <c r="E38" s="80"/>
      <c r="F38" s="80"/>
      <c r="G38" s="80"/>
      <c r="H38" s="80"/>
      <c r="I38" s="80"/>
      <c r="S38" s="111"/>
      <c r="X38" s="128" t="s">
        <v>135</v>
      </c>
      <c r="Y38" s="78"/>
      <c r="Z38" s="78"/>
      <c r="AA38" s="78"/>
      <c r="AB38" s="78"/>
    </row>
    <row r="39" spans="2:28" ht="15.75" customHeight="1" thickBot="1" x14ac:dyDescent="0.3">
      <c r="B39" s="115" t="s">
        <v>357</v>
      </c>
      <c r="C39" s="115"/>
      <c r="D39" s="115"/>
      <c r="E39" s="115"/>
      <c r="F39" s="115"/>
      <c r="G39" s="115"/>
      <c r="H39" s="115"/>
      <c r="I39" s="115"/>
      <c r="S39" s="112"/>
      <c r="X39" s="78"/>
      <c r="Y39" s="78"/>
      <c r="Z39" s="78"/>
      <c r="AA39" s="78"/>
      <c r="AB39" s="78"/>
    </row>
    <row r="40" spans="2:28" ht="15" customHeight="1" thickBot="1" x14ac:dyDescent="0.3">
      <c r="B40" s="116" t="s">
        <v>262</v>
      </c>
      <c r="C40" s="116"/>
      <c r="D40" s="116"/>
      <c r="E40" s="116"/>
      <c r="F40" s="116"/>
      <c r="G40" s="116"/>
      <c r="H40" s="116"/>
      <c r="I40" s="116"/>
      <c r="S40" s="111"/>
      <c r="X40" s="78"/>
      <c r="Y40" s="78"/>
      <c r="Z40" s="78"/>
      <c r="AA40" s="78"/>
      <c r="AB40" s="78"/>
    </row>
    <row r="41" spans="2:28" ht="15" customHeight="1" x14ac:dyDescent="0.25">
      <c r="B41" s="117" t="s">
        <v>264</v>
      </c>
      <c r="C41" s="117"/>
      <c r="D41" s="79"/>
      <c r="E41" s="117" t="s">
        <v>265</v>
      </c>
      <c r="F41" s="117"/>
      <c r="G41" s="80"/>
      <c r="H41" s="117" t="s">
        <v>118</v>
      </c>
      <c r="I41" s="117"/>
      <c r="S41" s="112"/>
    </row>
    <row r="42" spans="2:28" ht="15" customHeight="1" x14ac:dyDescent="0.25">
      <c r="B42" s="84" t="s">
        <v>130</v>
      </c>
      <c r="C42" s="85" t="s">
        <v>129</v>
      </c>
      <c r="D42" s="80"/>
      <c r="E42" s="84" t="s">
        <v>130</v>
      </c>
      <c r="F42" s="84" t="s">
        <v>145</v>
      </c>
      <c r="G42" s="80"/>
      <c r="H42" s="84" t="s">
        <v>130</v>
      </c>
      <c r="I42" s="85" t="s">
        <v>270</v>
      </c>
      <c r="S42" s="111"/>
    </row>
    <row r="43" spans="2:28" ht="15.75" customHeight="1" x14ac:dyDescent="0.25">
      <c r="B43" s="84" t="s">
        <v>147</v>
      </c>
      <c r="C43" s="89" t="s">
        <v>349</v>
      </c>
      <c r="D43" s="90"/>
      <c r="E43" s="84" t="s">
        <v>147</v>
      </c>
      <c r="F43" s="85" t="s">
        <v>274</v>
      </c>
      <c r="G43" s="80"/>
      <c r="H43" s="84" t="s">
        <v>147</v>
      </c>
      <c r="I43" s="85" t="s">
        <v>275</v>
      </c>
      <c r="S43" s="112"/>
    </row>
    <row r="44" spans="2:28" x14ac:dyDescent="0.25">
      <c r="B44" s="84" t="s">
        <v>134</v>
      </c>
      <c r="C44" s="85" t="s">
        <v>133</v>
      </c>
      <c r="D44" s="80"/>
      <c r="E44" s="84" t="s">
        <v>233</v>
      </c>
      <c r="F44" s="121" t="s">
        <v>290</v>
      </c>
      <c r="G44" s="90"/>
      <c r="H44" s="84" t="s">
        <v>134</v>
      </c>
      <c r="I44" s="84" t="s">
        <v>161</v>
      </c>
    </row>
    <row r="45" spans="2:28" x14ac:dyDescent="0.25">
      <c r="B45" s="84" t="s">
        <v>136</v>
      </c>
      <c r="C45" s="118" t="s">
        <v>199</v>
      </c>
      <c r="D45" s="80"/>
      <c r="E45" s="84" t="s">
        <v>149</v>
      </c>
      <c r="F45" s="84" t="s">
        <v>279</v>
      </c>
      <c r="G45" s="80"/>
      <c r="H45" s="84" t="s">
        <v>136</v>
      </c>
      <c r="I45" s="84" t="s">
        <v>162</v>
      </c>
    </row>
    <row r="46" spans="2:28" x14ac:dyDescent="0.25">
      <c r="B46" s="84" t="s">
        <v>138</v>
      </c>
      <c r="C46" s="85" t="s">
        <v>282</v>
      </c>
      <c r="D46" s="80"/>
      <c r="E46" s="84" t="s">
        <v>151</v>
      </c>
      <c r="F46" s="85" t="s">
        <v>150</v>
      </c>
      <c r="G46" s="80"/>
      <c r="H46" s="84" t="s">
        <v>138</v>
      </c>
      <c r="I46" s="118" t="s">
        <v>350</v>
      </c>
    </row>
    <row r="47" spans="2:28" x14ac:dyDescent="0.25">
      <c r="B47" s="84" t="s">
        <v>286</v>
      </c>
      <c r="C47" s="84" t="s">
        <v>287</v>
      </c>
      <c r="D47" s="80"/>
      <c r="E47" s="85" t="s">
        <v>153</v>
      </c>
      <c r="F47" s="85" t="s">
        <v>152</v>
      </c>
      <c r="G47" s="80"/>
      <c r="H47" s="84" t="s">
        <v>140</v>
      </c>
      <c r="I47" s="84" t="s">
        <v>164</v>
      </c>
    </row>
    <row r="48" spans="2:28" x14ac:dyDescent="0.25">
      <c r="B48" s="84" t="s">
        <v>142</v>
      </c>
      <c r="C48" s="85" t="s">
        <v>291</v>
      </c>
      <c r="D48" s="80"/>
      <c r="E48" s="84" t="s">
        <v>140</v>
      </c>
      <c r="F48" s="84" t="s">
        <v>273</v>
      </c>
      <c r="G48" s="80"/>
      <c r="H48" s="84" t="s">
        <v>142</v>
      </c>
      <c r="I48" s="84" t="s">
        <v>165</v>
      </c>
    </row>
    <row r="49" spans="2:9" x14ac:dyDescent="0.25">
      <c r="B49" s="84" t="s">
        <v>239</v>
      </c>
      <c r="C49" s="89" t="s">
        <v>351</v>
      </c>
      <c r="D49" s="80"/>
      <c r="E49" s="84" t="s">
        <v>142</v>
      </c>
      <c r="F49" s="84" t="s">
        <v>294</v>
      </c>
      <c r="G49" s="80"/>
      <c r="H49" s="84" t="s">
        <v>144</v>
      </c>
      <c r="I49" s="101"/>
    </row>
    <row r="50" spans="2:9" x14ac:dyDescent="0.25">
      <c r="B50" s="84" t="s">
        <v>144</v>
      </c>
      <c r="C50" s="103" t="s">
        <v>299</v>
      </c>
      <c r="D50" s="80"/>
      <c r="E50" s="84" t="s">
        <v>144</v>
      </c>
      <c r="F50" s="101" t="s">
        <v>156</v>
      </c>
      <c r="G50" s="80"/>
      <c r="H50" s="84" t="s">
        <v>300</v>
      </c>
      <c r="I50" s="89"/>
    </row>
    <row r="51" spans="2:9" x14ac:dyDescent="0.25">
      <c r="B51" s="84" t="s">
        <v>153</v>
      </c>
      <c r="C51" s="122" t="s">
        <v>355</v>
      </c>
      <c r="D51" s="80"/>
      <c r="E51" s="84" t="s">
        <v>158</v>
      </c>
      <c r="F51" s="105"/>
      <c r="G51" s="80"/>
      <c r="H51" s="84" t="s">
        <v>168</v>
      </c>
      <c r="I51" s="85"/>
    </row>
    <row r="52" spans="2:9" x14ac:dyDescent="0.25">
      <c r="B52" s="84"/>
      <c r="C52" s="104"/>
      <c r="D52" s="80"/>
      <c r="E52" s="84"/>
      <c r="F52" s="85"/>
      <c r="G52" s="80"/>
      <c r="H52" s="80"/>
      <c r="I52" s="80"/>
    </row>
    <row r="53" spans="2:9" x14ac:dyDescent="0.25">
      <c r="D53" s="80"/>
      <c r="E53" s="80" t="s">
        <v>303</v>
      </c>
      <c r="F53" s="80"/>
      <c r="G53" s="80"/>
      <c r="H53" s="80"/>
      <c r="I53" s="80"/>
    </row>
    <row r="54" spans="2:9" x14ac:dyDescent="0.25">
      <c r="D54" s="80"/>
      <c r="E54" s="80" t="s">
        <v>303</v>
      </c>
      <c r="F54" s="80"/>
      <c r="G54" s="80"/>
    </row>
    <row r="55" spans="2:9" ht="15.75" x14ac:dyDescent="0.25">
      <c r="D55" s="80"/>
      <c r="E55" s="80" t="s">
        <v>303</v>
      </c>
      <c r="F55" s="91" t="s">
        <v>276</v>
      </c>
      <c r="G55" s="80"/>
    </row>
    <row r="56" spans="2:9" x14ac:dyDescent="0.25">
      <c r="D56" s="80"/>
      <c r="E56" s="81" t="s">
        <v>267</v>
      </c>
      <c r="F56" s="92" t="s">
        <v>278</v>
      </c>
    </row>
    <row r="57" spans="2:9" x14ac:dyDescent="0.25">
      <c r="D57" s="80"/>
      <c r="E57" s="80" t="s">
        <v>303</v>
      </c>
      <c r="F57" s="80"/>
      <c r="G57" s="80"/>
    </row>
    <row r="58" spans="2:9" x14ac:dyDescent="0.25">
      <c r="B58" s="80"/>
      <c r="C58" s="80"/>
      <c r="D58" s="80"/>
      <c r="E58" s="84" t="s">
        <v>306</v>
      </c>
      <c r="F58" s="84" t="s">
        <v>307</v>
      </c>
      <c r="G58" s="80"/>
    </row>
    <row r="59" spans="2:9" x14ac:dyDescent="0.25">
      <c r="B59" s="80"/>
      <c r="C59" s="80"/>
      <c r="D59" s="80"/>
      <c r="E59" s="80"/>
      <c r="F59" s="80"/>
      <c r="G59" s="80"/>
    </row>
    <row r="60" spans="2:9" x14ac:dyDescent="0.25">
      <c r="B60" s="80"/>
      <c r="C60" s="80"/>
      <c r="D60" s="80"/>
      <c r="E60" s="80"/>
      <c r="F60" s="80"/>
      <c r="G60" s="80"/>
    </row>
    <row r="61" spans="2:9" ht="15.75" thickBot="1" x14ac:dyDescent="0.3">
      <c r="B61" s="80"/>
      <c r="C61" s="80"/>
      <c r="D61" s="80"/>
      <c r="E61" s="80"/>
      <c r="F61" s="80"/>
      <c r="G61" s="80"/>
    </row>
    <row r="62" spans="2:9" x14ac:dyDescent="0.25">
      <c r="B62" s="117" t="s">
        <v>119</v>
      </c>
      <c r="C62" s="117"/>
      <c r="D62" s="80"/>
      <c r="E62" s="117" t="s">
        <v>120</v>
      </c>
      <c r="F62" s="117"/>
      <c r="G62" s="80"/>
    </row>
    <row r="63" spans="2:9" x14ac:dyDescent="0.25">
      <c r="B63" s="84" t="s">
        <v>130</v>
      </c>
      <c r="C63" s="84" t="s">
        <v>166</v>
      </c>
      <c r="D63" s="80"/>
      <c r="E63" s="84" t="s">
        <v>130</v>
      </c>
      <c r="F63" s="84" t="s">
        <v>177</v>
      </c>
      <c r="G63" s="80"/>
    </row>
    <row r="64" spans="2:9" x14ac:dyDescent="0.25">
      <c r="B64" s="84" t="s">
        <v>168</v>
      </c>
      <c r="C64" s="85" t="s">
        <v>167</v>
      </c>
      <c r="D64" s="80"/>
      <c r="E64" s="84" t="s">
        <v>147</v>
      </c>
      <c r="F64" s="121" t="s">
        <v>356</v>
      </c>
      <c r="G64" s="80"/>
    </row>
    <row r="65" spans="2:9" x14ac:dyDescent="0.25">
      <c r="B65" s="84" t="s">
        <v>134</v>
      </c>
      <c r="C65" s="118" t="s">
        <v>352</v>
      </c>
      <c r="D65" s="80"/>
      <c r="E65" s="84" t="s">
        <v>134</v>
      </c>
      <c r="F65" s="185" t="s">
        <v>353</v>
      </c>
      <c r="G65" s="80"/>
    </row>
    <row r="66" spans="2:9" x14ac:dyDescent="0.25">
      <c r="B66" s="84" t="s">
        <v>171</v>
      </c>
      <c r="C66" s="109" t="s">
        <v>309</v>
      </c>
      <c r="D66" s="80"/>
      <c r="E66" s="84" t="s">
        <v>173</v>
      </c>
      <c r="F66" s="84" t="s">
        <v>179</v>
      </c>
      <c r="G66" s="80"/>
    </row>
    <row r="67" spans="2:9" x14ac:dyDescent="0.25">
      <c r="B67" s="84" t="s">
        <v>173</v>
      </c>
      <c r="C67" s="85" t="s">
        <v>310</v>
      </c>
      <c r="D67" s="80"/>
      <c r="E67" s="84" t="s">
        <v>311</v>
      </c>
      <c r="F67" s="89" t="s">
        <v>354</v>
      </c>
      <c r="G67" s="80"/>
    </row>
    <row r="68" spans="2:9" x14ac:dyDescent="0.25">
      <c r="B68" s="84" t="s">
        <v>140</v>
      </c>
      <c r="C68" s="85" t="s">
        <v>312</v>
      </c>
      <c r="D68" s="80"/>
      <c r="E68" s="84" t="s">
        <v>140</v>
      </c>
      <c r="F68" s="105" t="s">
        <v>313</v>
      </c>
      <c r="G68" s="80"/>
    </row>
    <row r="69" spans="2:9" x14ac:dyDescent="0.25">
      <c r="B69" s="84" t="s">
        <v>142</v>
      </c>
      <c r="C69" s="104" t="s">
        <v>314</v>
      </c>
      <c r="D69" s="80"/>
      <c r="E69" s="84" t="s">
        <v>142</v>
      </c>
      <c r="F69" s="123"/>
      <c r="G69" s="80"/>
    </row>
    <row r="70" spans="2:9" x14ac:dyDescent="0.25">
      <c r="B70" s="84" t="s">
        <v>144</v>
      </c>
      <c r="C70" s="101" t="s">
        <v>320</v>
      </c>
      <c r="D70" s="80"/>
      <c r="E70" s="84" t="s">
        <v>144</v>
      </c>
      <c r="F70" s="101"/>
      <c r="G70" s="80"/>
    </row>
    <row r="71" spans="2:9" x14ac:dyDescent="0.25">
      <c r="B71" s="84" t="s">
        <v>325</v>
      </c>
      <c r="C71" s="85"/>
      <c r="D71" s="80"/>
      <c r="E71" s="84"/>
      <c r="F71" s="85"/>
      <c r="G71" s="80"/>
    </row>
    <row r="72" spans="2:9" x14ac:dyDescent="0.25">
      <c r="B72" s="84" t="s">
        <v>330</v>
      </c>
      <c r="C72" s="85"/>
      <c r="D72" s="80"/>
      <c r="E72" s="84" t="s">
        <v>331</v>
      </c>
      <c r="F72" s="85"/>
      <c r="G72" s="80"/>
      <c r="H72" s="80"/>
      <c r="I72" s="80"/>
    </row>
  </sheetData>
  <mergeCells count="14">
    <mergeCell ref="B62:C62"/>
    <mergeCell ref="E62:F62"/>
    <mergeCell ref="B24:C24"/>
    <mergeCell ref="E24:F24"/>
    <mergeCell ref="B39:I39"/>
    <mergeCell ref="B40:I40"/>
    <mergeCell ref="B41:C41"/>
    <mergeCell ref="E41:F41"/>
    <mergeCell ref="H41:I41"/>
    <mergeCell ref="B1:I1"/>
    <mergeCell ref="B2:I2"/>
    <mergeCell ref="B3:C3"/>
    <mergeCell ref="E3:F3"/>
    <mergeCell ref="H3:I3"/>
  </mergeCells>
  <pageMargins left="0.25" right="0.25" top="0.75" bottom="0.75" header="0.511811023622047" footer="0.511811023622047"/>
  <pageSetup scale="3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4E6B-62E6-4E03-BD90-9AE5A9460FB9}">
  <sheetPr>
    <pageSetUpPr fitToPage="1"/>
  </sheetPr>
  <dimension ref="B1:U41"/>
  <sheetViews>
    <sheetView zoomScale="130" zoomScaleNormal="130" workbookViewId="0">
      <selection activeCell="H22" sqref="H22"/>
    </sheetView>
  </sheetViews>
  <sheetFormatPr defaultRowHeight="15" x14ac:dyDescent="0.25"/>
  <cols>
    <col min="1" max="1" width="9.140625" style="132"/>
    <col min="2" max="2" width="23.85546875" style="132" customWidth="1"/>
    <col min="3" max="3" width="29.28515625" style="132" customWidth="1"/>
    <col min="4" max="4" width="14.140625" style="132" customWidth="1"/>
    <col min="5" max="5" width="18.5703125" style="132" customWidth="1"/>
    <col min="6" max="6" width="33.85546875" style="132" customWidth="1"/>
    <col min="7" max="7" width="14.140625" style="132" customWidth="1"/>
    <col min="8" max="8" width="23.28515625" style="132" customWidth="1"/>
    <col min="9" max="9" width="27.42578125" style="132" customWidth="1"/>
    <col min="10" max="11" width="9.140625" style="132"/>
    <col min="12" max="12" width="0" style="132" hidden="1" customWidth="1"/>
    <col min="13" max="13" width="11.5703125" style="132" hidden="1" customWidth="1"/>
    <col min="14" max="14" width="34.140625" style="132" hidden="1" customWidth="1"/>
    <col min="15" max="15" width="0" style="132" hidden="1" customWidth="1"/>
    <col min="16" max="16" width="28.42578125" style="132" hidden="1" customWidth="1"/>
    <col min="17" max="17" width="23.5703125" style="132" hidden="1" customWidth="1"/>
    <col min="18" max="18" width="31.5703125" style="132" hidden="1" customWidth="1"/>
    <col min="19" max="19" width="44.140625" style="132" hidden="1" customWidth="1"/>
    <col min="20" max="21" width="0" style="132" hidden="1" customWidth="1"/>
    <col min="22" max="22" width="9.140625" style="132"/>
    <col min="23" max="23" width="19.42578125" style="132" customWidth="1"/>
    <col min="24" max="24" width="22.5703125" style="132" customWidth="1"/>
    <col min="25" max="25" width="16" style="132" customWidth="1"/>
    <col min="26" max="16384" width="9.140625" style="132"/>
  </cols>
  <sheetData>
    <row r="1" spans="2:21" ht="15.75" customHeight="1" thickBot="1" x14ac:dyDescent="0.3">
      <c r="B1" s="130" t="s">
        <v>255</v>
      </c>
      <c r="C1" s="131"/>
      <c r="D1" s="131"/>
      <c r="E1" s="131"/>
      <c r="F1" s="131"/>
      <c r="G1" s="131"/>
      <c r="H1" s="131"/>
      <c r="I1" s="131"/>
      <c r="P1" s="133" t="s">
        <v>256</v>
      </c>
      <c r="Q1" s="134" t="s">
        <v>257</v>
      </c>
      <c r="R1" s="134" t="s">
        <v>258</v>
      </c>
      <c r="S1" s="135" t="s">
        <v>259</v>
      </c>
      <c r="T1" s="135" t="s">
        <v>260</v>
      </c>
      <c r="U1" s="135" t="s">
        <v>261</v>
      </c>
    </row>
    <row r="2" spans="2:21" ht="15.75" customHeight="1" thickBot="1" x14ac:dyDescent="0.3">
      <c r="B2" s="136" t="s">
        <v>262</v>
      </c>
      <c r="C2" s="137"/>
      <c r="D2" s="137"/>
      <c r="E2" s="137"/>
      <c r="F2" s="137"/>
      <c r="G2" s="137"/>
      <c r="H2" s="137"/>
      <c r="I2" s="137"/>
      <c r="P2" s="138"/>
      <c r="Q2" s="139" t="s">
        <v>146</v>
      </c>
      <c r="R2" s="140">
        <v>46016</v>
      </c>
      <c r="S2" s="141">
        <v>46023</v>
      </c>
      <c r="T2" s="142"/>
      <c r="U2" s="143" t="s">
        <v>263</v>
      </c>
    </row>
    <row r="3" spans="2:21" x14ac:dyDescent="0.25">
      <c r="B3" s="144" t="s">
        <v>264</v>
      </c>
      <c r="C3" s="145"/>
      <c r="D3" s="146"/>
      <c r="E3" s="144" t="s">
        <v>265</v>
      </c>
      <c r="F3" s="145"/>
      <c r="G3" s="147"/>
      <c r="H3" s="144" t="s">
        <v>118</v>
      </c>
      <c r="I3" s="145"/>
      <c r="M3" s="132" t="s">
        <v>266</v>
      </c>
      <c r="N3" s="148" t="s">
        <v>267</v>
      </c>
      <c r="P3" s="139" t="s">
        <v>268</v>
      </c>
      <c r="Q3" s="139" t="s">
        <v>146</v>
      </c>
      <c r="R3" s="149">
        <v>46027</v>
      </c>
      <c r="S3" s="141">
        <v>46034</v>
      </c>
      <c r="T3" s="150"/>
      <c r="U3" s="143" t="s">
        <v>269</v>
      </c>
    </row>
    <row r="4" spans="2:21" x14ac:dyDescent="0.25">
      <c r="B4" s="151" t="s">
        <v>413</v>
      </c>
      <c r="C4" s="151" t="s">
        <v>334</v>
      </c>
      <c r="D4" s="147"/>
      <c r="E4" s="151" t="s">
        <v>130</v>
      </c>
      <c r="F4" s="151" t="s">
        <v>370</v>
      </c>
      <c r="G4" s="147"/>
      <c r="H4" s="151" t="s">
        <v>130</v>
      </c>
      <c r="I4" s="152" t="s">
        <v>177</v>
      </c>
      <c r="M4" s="132" t="s">
        <v>271</v>
      </c>
      <c r="N4" s="153" t="s">
        <v>272</v>
      </c>
      <c r="P4" s="154"/>
      <c r="Q4" s="139" t="s">
        <v>273</v>
      </c>
      <c r="R4" s="155"/>
      <c r="S4" s="141"/>
      <c r="T4" s="150"/>
      <c r="U4" s="143"/>
    </row>
    <row r="5" spans="2:21" ht="15.75" customHeight="1" x14ac:dyDescent="0.25">
      <c r="B5" s="151" t="s">
        <v>147</v>
      </c>
      <c r="C5" s="156" t="s">
        <v>402</v>
      </c>
      <c r="D5" s="157"/>
      <c r="E5" s="151" t="s">
        <v>147</v>
      </c>
      <c r="F5" s="158" t="s">
        <v>146</v>
      </c>
      <c r="G5" s="147"/>
      <c r="H5" s="151" t="s">
        <v>147</v>
      </c>
      <c r="I5" s="152" t="s">
        <v>160</v>
      </c>
      <c r="N5" s="159" t="s">
        <v>276</v>
      </c>
      <c r="P5" s="139" t="s">
        <v>156</v>
      </c>
      <c r="Q5" s="139" t="s">
        <v>156</v>
      </c>
      <c r="R5" s="155"/>
      <c r="S5" s="141">
        <v>46026</v>
      </c>
      <c r="T5" s="150"/>
      <c r="U5" s="143"/>
    </row>
    <row r="6" spans="2:21" x14ac:dyDescent="0.25">
      <c r="B6" s="151" t="s">
        <v>134</v>
      </c>
      <c r="C6" s="156" t="s">
        <v>133</v>
      </c>
      <c r="D6" s="147"/>
      <c r="E6" s="151" t="s">
        <v>233</v>
      </c>
      <c r="F6" s="160" t="s">
        <v>336</v>
      </c>
      <c r="G6" s="157"/>
      <c r="H6" s="151" t="s">
        <v>134</v>
      </c>
      <c r="I6" s="151" t="s">
        <v>161</v>
      </c>
      <c r="M6" s="132" t="s">
        <v>277</v>
      </c>
      <c r="N6" s="161" t="s">
        <v>278</v>
      </c>
      <c r="P6" s="162"/>
      <c r="Q6" s="139" t="s">
        <v>143</v>
      </c>
      <c r="R6" s="155"/>
      <c r="S6" s="141">
        <v>45659</v>
      </c>
      <c r="T6" s="150"/>
      <c r="U6" s="143"/>
    </row>
    <row r="7" spans="2:21" x14ac:dyDescent="0.25">
      <c r="B7" s="151" t="s">
        <v>136</v>
      </c>
      <c r="C7" s="152" t="s">
        <v>180</v>
      </c>
      <c r="D7" s="147"/>
      <c r="E7" s="151" t="s">
        <v>149</v>
      </c>
      <c r="F7" s="151" t="s">
        <v>279</v>
      </c>
      <c r="G7" s="147"/>
      <c r="H7" s="151" t="s">
        <v>136</v>
      </c>
      <c r="I7" s="151" t="s">
        <v>162</v>
      </c>
      <c r="M7" s="132" t="s">
        <v>280</v>
      </c>
      <c r="N7" s="163" t="s">
        <v>281</v>
      </c>
      <c r="P7" s="162"/>
      <c r="Q7" s="139" t="s">
        <v>174</v>
      </c>
      <c r="R7" s="155"/>
      <c r="S7" s="141">
        <v>46020</v>
      </c>
      <c r="T7" s="150"/>
      <c r="U7" s="143"/>
    </row>
    <row r="8" spans="2:21" x14ac:dyDescent="0.25">
      <c r="B8" s="151" t="s">
        <v>138</v>
      </c>
      <c r="C8" s="152" t="s">
        <v>418</v>
      </c>
      <c r="D8" s="147"/>
      <c r="E8" s="151" t="s">
        <v>151</v>
      </c>
      <c r="F8" s="165" t="s">
        <v>417</v>
      </c>
      <c r="G8" s="147"/>
      <c r="H8" s="151" t="s">
        <v>138</v>
      </c>
      <c r="I8" s="152"/>
      <c r="M8" s="132" t="s">
        <v>284</v>
      </c>
      <c r="N8" s="166" t="s">
        <v>285</v>
      </c>
      <c r="P8" s="162"/>
      <c r="Q8" s="139" t="s">
        <v>135</v>
      </c>
      <c r="R8" s="155"/>
      <c r="S8" s="141"/>
      <c r="T8" s="150"/>
      <c r="U8" s="143"/>
    </row>
    <row r="9" spans="2:21" x14ac:dyDescent="0.25">
      <c r="B9" s="151" t="s">
        <v>286</v>
      </c>
      <c r="C9" s="151" t="s">
        <v>312</v>
      </c>
      <c r="D9" s="147"/>
      <c r="E9" s="152" t="s">
        <v>153</v>
      </c>
      <c r="F9" s="152" t="s">
        <v>414</v>
      </c>
      <c r="G9" s="147"/>
      <c r="H9" s="151" t="s">
        <v>140</v>
      </c>
      <c r="I9" s="151" t="s">
        <v>164</v>
      </c>
      <c r="M9" s="167" t="s">
        <v>288</v>
      </c>
      <c r="N9" s="167" t="s">
        <v>289</v>
      </c>
      <c r="P9" s="162"/>
      <c r="Q9" s="139" t="s">
        <v>290</v>
      </c>
      <c r="R9" s="155">
        <v>46020</v>
      </c>
      <c r="S9" s="141">
        <v>46024</v>
      </c>
      <c r="T9" s="150"/>
      <c r="U9" s="143"/>
    </row>
    <row r="10" spans="2:21" x14ac:dyDescent="0.25">
      <c r="B10" s="151" t="s">
        <v>142</v>
      </c>
      <c r="C10" s="152" t="s">
        <v>339</v>
      </c>
      <c r="D10" s="147"/>
      <c r="E10" s="151" t="s">
        <v>140</v>
      </c>
      <c r="F10" s="151" t="s">
        <v>273</v>
      </c>
      <c r="G10" s="147"/>
      <c r="H10" s="151" t="s">
        <v>142</v>
      </c>
      <c r="I10" s="151" t="s">
        <v>165</v>
      </c>
      <c r="M10" s="132" t="s">
        <v>292</v>
      </c>
      <c r="N10" s="168" t="s">
        <v>293</v>
      </c>
      <c r="P10" s="169"/>
      <c r="Q10" s="154" t="s">
        <v>139</v>
      </c>
      <c r="R10" s="170">
        <v>46017</v>
      </c>
      <c r="S10" s="141">
        <v>45661</v>
      </c>
      <c r="T10" s="171"/>
      <c r="U10" s="143"/>
    </row>
    <row r="11" spans="2:21" x14ac:dyDescent="0.25">
      <c r="B11" s="151" t="s">
        <v>239</v>
      </c>
      <c r="C11" s="164"/>
      <c r="D11" s="147"/>
      <c r="E11" s="151" t="s">
        <v>142</v>
      </c>
      <c r="F11" s="151" t="s">
        <v>294</v>
      </c>
      <c r="G11" s="147"/>
      <c r="H11" s="151" t="s">
        <v>144</v>
      </c>
      <c r="I11" s="172" t="s">
        <v>299</v>
      </c>
      <c r="M11" s="173" t="s">
        <v>295</v>
      </c>
      <c r="N11" s="173" t="s">
        <v>296</v>
      </c>
      <c r="P11" s="169"/>
      <c r="Q11" s="154" t="s">
        <v>297</v>
      </c>
      <c r="R11" s="170">
        <v>46017</v>
      </c>
      <c r="S11" s="141">
        <v>46020</v>
      </c>
      <c r="T11" s="171"/>
      <c r="U11" s="143" t="s">
        <v>298</v>
      </c>
    </row>
    <row r="12" spans="2:21" x14ac:dyDescent="0.25">
      <c r="B12" s="151" t="s">
        <v>144</v>
      </c>
      <c r="C12" s="174" t="s">
        <v>176</v>
      </c>
      <c r="D12" s="147"/>
      <c r="E12" s="151" t="s">
        <v>144</v>
      </c>
      <c r="F12" s="172" t="s">
        <v>156</v>
      </c>
      <c r="G12" s="147"/>
      <c r="H12" s="151" t="s">
        <v>300</v>
      </c>
      <c r="I12" s="152" t="s">
        <v>152</v>
      </c>
      <c r="P12" s="169"/>
      <c r="Q12" s="154" t="s">
        <v>301</v>
      </c>
      <c r="R12" s="170"/>
      <c r="S12" s="141"/>
      <c r="T12" s="171"/>
      <c r="U12" s="143"/>
    </row>
    <row r="13" spans="2:21" x14ac:dyDescent="0.25">
      <c r="B13" s="151"/>
      <c r="C13" s="152"/>
      <c r="D13" s="147"/>
      <c r="E13" s="151" t="s">
        <v>158</v>
      </c>
      <c r="F13" s="158" t="s">
        <v>157</v>
      </c>
      <c r="G13" s="147"/>
      <c r="H13" s="151" t="s">
        <v>168</v>
      </c>
      <c r="I13" s="152"/>
      <c r="P13" s="169"/>
      <c r="Q13" s="154" t="s">
        <v>159</v>
      </c>
      <c r="R13" s="170"/>
      <c r="S13" s="141"/>
      <c r="T13" s="171"/>
      <c r="U13" s="143"/>
    </row>
    <row r="14" spans="2:21" x14ac:dyDescent="0.25">
      <c r="B14" s="151"/>
      <c r="C14" s="152"/>
      <c r="D14" s="147"/>
      <c r="E14" s="151"/>
      <c r="F14" s="152"/>
      <c r="G14" s="147"/>
      <c r="H14" s="147"/>
      <c r="I14" s="147"/>
      <c r="P14" s="151"/>
      <c r="Q14" s="151" t="s">
        <v>302</v>
      </c>
      <c r="R14" s="170"/>
      <c r="S14" s="141"/>
      <c r="T14" s="171"/>
      <c r="U14" s="143"/>
    </row>
    <row r="15" spans="2:21" x14ac:dyDescent="0.25">
      <c r="D15" s="147"/>
      <c r="E15" s="147" t="s">
        <v>303</v>
      </c>
      <c r="F15" s="147"/>
      <c r="G15" s="147"/>
      <c r="H15" s="147"/>
      <c r="I15" s="147"/>
      <c r="P15" s="151"/>
      <c r="Q15" s="151" t="s">
        <v>304</v>
      </c>
      <c r="R15" s="175">
        <v>46016</v>
      </c>
      <c r="S15" s="141">
        <v>46020</v>
      </c>
      <c r="T15" s="171"/>
      <c r="U15" s="143" t="s">
        <v>263</v>
      </c>
    </row>
    <row r="16" spans="2:21" x14ac:dyDescent="0.25">
      <c r="D16" s="147"/>
      <c r="E16" s="147" t="s">
        <v>303</v>
      </c>
      <c r="F16" s="147"/>
      <c r="G16" s="147"/>
      <c r="P16" s="143"/>
      <c r="Q16" s="143" t="s">
        <v>305</v>
      </c>
      <c r="R16" s="170">
        <v>46020</v>
      </c>
      <c r="S16" s="141">
        <v>46023</v>
      </c>
      <c r="U16" s="143" t="s">
        <v>298</v>
      </c>
    </row>
    <row r="17" spans="2:21" ht="15.75" customHeight="1" x14ac:dyDescent="0.25">
      <c r="D17" s="147"/>
      <c r="E17" s="147" t="s">
        <v>303</v>
      </c>
      <c r="F17" s="159" t="s">
        <v>276</v>
      </c>
      <c r="G17" s="147"/>
      <c r="P17" s="176"/>
      <c r="Q17" s="176" t="s">
        <v>180</v>
      </c>
      <c r="R17" s="170">
        <v>46017</v>
      </c>
      <c r="S17" s="177">
        <v>46019</v>
      </c>
      <c r="U17" s="143" t="s">
        <v>298</v>
      </c>
    </row>
    <row r="18" spans="2:21" x14ac:dyDescent="0.25">
      <c r="D18" s="147"/>
      <c r="E18" s="148" t="s">
        <v>267</v>
      </c>
      <c r="F18" s="161" t="s">
        <v>278</v>
      </c>
      <c r="P18" s="143"/>
      <c r="Q18" s="143" t="s">
        <v>197</v>
      </c>
      <c r="R18" s="141">
        <v>46024</v>
      </c>
      <c r="S18" s="141">
        <v>45662</v>
      </c>
      <c r="T18" s="143"/>
      <c r="U18" s="143" t="s">
        <v>298</v>
      </c>
    </row>
    <row r="19" spans="2:21" x14ac:dyDescent="0.25">
      <c r="B19" s="147"/>
      <c r="C19" s="147"/>
      <c r="D19" s="147"/>
      <c r="E19" s="147" t="s">
        <v>303</v>
      </c>
      <c r="F19" s="147"/>
      <c r="G19" s="147"/>
      <c r="P19" s="143"/>
      <c r="Q19" s="143" t="s">
        <v>180</v>
      </c>
      <c r="R19" s="170">
        <v>46020</v>
      </c>
      <c r="S19" s="141">
        <v>45659</v>
      </c>
      <c r="U19" s="143" t="s">
        <v>298</v>
      </c>
    </row>
    <row r="20" spans="2:21" ht="15.75" customHeight="1" x14ac:dyDescent="0.25">
      <c r="B20" s="147"/>
      <c r="C20" s="147"/>
      <c r="D20" s="147"/>
      <c r="E20" s="151" t="s">
        <v>306</v>
      </c>
      <c r="F20" s="151" t="s">
        <v>307</v>
      </c>
      <c r="G20" s="147"/>
      <c r="P20" s="143"/>
      <c r="Q20" s="143" t="s">
        <v>308</v>
      </c>
      <c r="R20" s="170">
        <v>46019</v>
      </c>
      <c r="S20" s="177"/>
      <c r="U20" s="176"/>
    </row>
    <row r="21" spans="2:21" x14ac:dyDescent="0.25">
      <c r="B21" s="147"/>
      <c r="C21" s="147"/>
      <c r="D21" s="147"/>
      <c r="E21" s="147"/>
      <c r="F21" s="147"/>
      <c r="G21" s="147"/>
      <c r="P21" s="143"/>
      <c r="Q21" s="143"/>
      <c r="R21" s="170"/>
      <c r="S21" s="141"/>
      <c r="U21" s="143"/>
    </row>
    <row r="22" spans="2:21" x14ac:dyDescent="0.25">
      <c r="B22" s="147"/>
      <c r="C22" s="147"/>
      <c r="D22" s="147"/>
      <c r="E22" s="147"/>
      <c r="F22" s="147"/>
      <c r="G22" s="147"/>
      <c r="P22" s="143"/>
      <c r="Q22" s="143"/>
      <c r="R22" s="170"/>
      <c r="S22" s="141"/>
      <c r="U22" s="143"/>
    </row>
    <row r="23" spans="2:21" ht="15.75" customHeight="1" thickBot="1" x14ac:dyDescent="0.3">
      <c r="B23" s="147"/>
      <c r="C23" s="147"/>
      <c r="D23" s="147"/>
      <c r="E23" s="147"/>
      <c r="F23" s="147"/>
      <c r="G23" s="147"/>
      <c r="P23" s="143"/>
      <c r="Q23" s="143"/>
      <c r="R23" s="170"/>
      <c r="S23" s="141"/>
      <c r="U23" s="143"/>
    </row>
    <row r="24" spans="2:21" x14ac:dyDescent="0.25">
      <c r="B24" s="144" t="s">
        <v>119</v>
      </c>
      <c r="C24" s="145"/>
      <c r="D24" s="147"/>
      <c r="E24" s="144" t="s">
        <v>120</v>
      </c>
      <c r="F24" s="145"/>
      <c r="G24" s="147"/>
      <c r="P24" s="143"/>
      <c r="Q24" s="143"/>
      <c r="R24" s="170"/>
      <c r="S24" s="141"/>
      <c r="U24" s="143"/>
    </row>
    <row r="25" spans="2:21" x14ac:dyDescent="0.25">
      <c r="B25" s="151" t="s">
        <v>130</v>
      </c>
      <c r="C25" s="151" t="s">
        <v>145</v>
      </c>
      <c r="D25" s="147"/>
      <c r="E25" s="151" t="s">
        <v>130</v>
      </c>
      <c r="F25" s="151" t="s">
        <v>270</v>
      </c>
      <c r="G25" s="147"/>
      <c r="P25" s="143"/>
      <c r="Q25" s="143"/>
      <c r="R25" s="170"/>
      <c r="S25" s="177"/>
      <c r="U25" s="176"/>
    </row>
    <row r="26" spans="2:21" x14ac:dyDescent="0.25">
      <c r="B26" s="151" t="s">
        <v>325</v>
      </c>
      <c r="C26" s="158" t="s">
        <v>167</v>
      </c>
      <c r="D26" s="147"/>
      <c r="E26" s="151" t="s">
        <v>147</v>
      </c>
      <c r="F26" s="152" t="s">
        <v>308</v>
      </c>
      <c r="G26" s="147"/>
      <c r="P26" s="143"/>
      <c r="Q26" s="143"/>
      <c r="R26" s="141"/>
      <c r="S26" s="141"/>
      <c r="T26" s="143"/>
      <c r="U26" s="143"/>
    </row>
    <row r="27" spans="2:21" x14ac:dyDescent="0.25">
      <c r="B27" s="151" t="s">
        <v>134</v>
      </c>
      <c r="C27" s="152" t="s">
        <v>197</v>
      </c>
      <c r="D27" s="147"/>
      <c r="E27" s="151" t="s">
        <v>134</v>
      </c>
      <c r="F27" s="151" t="s">
        <v>178</v>
      </c>
      <c r="G27" s="147"/>
    </row>
    <row r="28" spans="2:21" x14ac:dyDescent="0.25">
      <c r="B28" s="151" t="s">
        <v>171</v>
      </c>
      <c r="C28" s="178" t="s">
        <v>309</v>
      </c>
      <c r="D28" s="147"/>
      <c r="E28" s="151" t="s">
        <v>173</v>
      </c>
      <c r="F28" s="151" t="s">
        <v>179</v>
      </c>
      <c r="G28" s="147"/>
    </row>
    <row r="29" spans="2:21" x14ac:dyDescent="0.25">
      <c r="B29" s="151" t="s">
        <v>173</v>
      </c>
      <c r="C29" s="152" t="s">
        <v>172</v>
      </c>
      <c r="D29" s="147"/>
      <c r="E29" s="151" t="s">
        <v>311</v>
      </c>
      <c r="F29" s="160" t="s">
        <v>329</v>
      </c>
      <c r="G29" s="147"/>
    </row>
    <row r="30" spans="2:21" x14ac:dyDescent="0.25">
      <c r="B30" s="151" t="s">
        <v>140</v>
      </c>
      <c r="C30" s="151" t="s">
        <v>419</v>
      </c>
      <c r="D30" s="147"/>
      <c r="E30" s="151" t="s">
        <v>140</v>
      </c>
      <c r="F30" s="152" t="s">
        <v>287</v>
      </c>
      <c r="G30" s="147"/>
    </row>
    <row r="31" spans="2:21" ht="15.75" customHeight="1" x14ac:dyDescent="0.25">
      <c r="B31" s="151" t="s">
        <v>142</v>
      </c>
      <c r="C31" s="179" t="s">
        <v>314</v>
      </c>
      <c r="D31" s="147"/>
      <c r="E31" s="151" t="s">
        <v>142</v>
      </c>
      <c r="F31" s="152" t="s">
        <v>291</v>
      </c>
      <c r="G31" s="147"/>
      <c r="P31" s="132" t="s">
        <v>315</v>
      </c>
      <c r="Q31" s="132" t="s">
        <v>316</v>
      </c>
      <c r="R31" s="132" t="s">
        <v>317</v>
      </c>
      <c r="S31" s="180" t="s">
        <v>318</v>
      </c>
    </row>
    <row r="32" spans="2:21" ht="15.75" customHeight="1" x14ac:dyDescent="0.25">
      <c r="B32" s="151" t="s">
        <v>144</v>
      </c>
      <c r="C32" s="181" t="s">
        <v>356</v>
      </c>
      <c r="D32" s="147"/>
      <c r="E32" s="151" t="s">
        <v>144</v>
      </c>
      <c r="F32" s="181" t="s">
        <v>415</v>
      </c>
      <c r="G32" s="147"/>
      <c r="P32" s="132" t="s">
        <v>321</v>
      </c>
      <c r="Q32" s="132" t="s">
        <v>322</v>
      </c>
      <c r="R32" s="132" t="s">
        <v>323</v>
      </c>
      <c r="S32" s="182" t="s">
        <v>324</v>
      </c>
    </row>
    <row r="33" spans="2:19" x14ac:dyDescent="0.25">
      <c r="B33" s="151" t="s">
        <v>325</v>
      </c>
      <c r="C33" s="152"/>
      <c r="D33" s="147"/>
      <c r="E33" s="151" t="s">
        <v>416</v>
      </c>
      <c r="F33" s="152"/>
      <c r="G33" s="147"/>
      <c r="P33" s="132" t="s">
        <v>326</v>
      </c>
      <c r="Q33" s="132" t="s">
        <v>327</v>
      </c>
      <c r="S33" s="183" t="s">
        <v>328</v>
      </c>
    </row>
    <row r="34" spans="2:19" ht="15.75" customHeight="1" x14ac:dyDescent="0.25">
      <c r="B34" s="151" t="s">
        <v>300</v>
      </c>
      <c r="C34" s="152"/>
      <c r="D34" s="147"/>
      <c r="E34" s="151" t="s">
        <v>331</v>
      </c>
      <c r="F34" s="152"/>
      <c r="G34" s="147"/>
      <c r="H34" s="147"/>
      <c r="I34" s="147"/>
      <c r="P34" s="132" t="s">
        <v>332</v>
      </c>
      <c r="Q34" s="132" t="s">
        <v>333</v>
      </c>
      <c r="S34" s="182"/>
    </row>
    <row r="35" spans="2:19" ht="15.75" customHeight="1" x14ac:dyDescent="0.25">
      <c r="B35" s="184"/>
      <c r="C35" s="147"/>
      <c r="D35" s="147"/>
      <c r="E35" s="147"/>
      <c r="F35" s="147"/>
      <c r="G35" s="147"/>
      <c r="H35" s="147"/>
      <c r="I35" s="147"/>
      <c r="P35" s="132" t="s">
        <v>335</v>
      </c>
      <c r="S35" s="183"/>
    </row>
    <row r="36" spans="2:19" ht="15.75" x14ac:dyDescent="0.25">
      <c r="B36" s="184"/>
      <c r="C36" s="147"/>
      <c r="D36" s="147"/>
      <c r="E36" s="147"/>
      <c r="F36" s="147"/>
      <c r="G36" s="147"/>
      <c r="H36" s="147"/>
      <c r="I36" s="147"/>
      <c r="P36" s="132" t="s">
        <v>337</v>
      </c>
      <c r="S36" s="182"/>
    </row>
    <row r="37" spans="2:19" ht="15.75" x14ac:dyDescent="0.25">
      <c r="B37" s="184"/>
      <c r="C37" s="147"/>
      <c r="D37" s="147"/>
      <c r="E37" s="147"/>
      <c r="F37" s="147"/>
      <c r="G37" s="147"/>
      <c r="H37" s="147"/>
      <c r="I37" s="147"/>
      <c r="S37" s="183"/>
    </row>
    <row r="38" spans="2:19" x14ac:dyDescent="0.25">
      <c r="S38" s="182"/>
    </row>
    <row r="39" spans="2:19" x14ac:dyDescent="0.25">
      <c r="S39" s="183"/>
    </row>
    <row r="40" spans="2:19" x14ac:dyDescent="0.25">
      <c r="P40" s="132" t="s">
        <v>340</v>
      </c>
      <c r="S40" s="182"/>
    </row>
    <row r="41" spans="2:19" ht="15.75" customHeight="1" x14ac:dyDescent="0.25">
      <c r="P41" s="132" t="s">
        <v>341</v>
      </c>
      <c r="S41" s="183"/>
    </row>
  </sheetData>
  <mergeCells count="7">
    <mergeCell ref="B1:I1"/>
    <mergeCell ref="B2:I2"/>
    <mergeCell ref="B3:C3"/>
    <mergeCell ref="E3:F3"/>
    <mergeCell ref="H3:I3"/>
    <mergeCell ref="B24:C24"/>
    <mergeCell ref="E24:F24"/>
  </mergeCells>
  <pageMargins left="0.25" right="0.25" top="0.75" bottom="0.75" header="0.3" footer="0.3"/>
  <pageSetup scale="48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PASSDOWN</vt:lpstr>
      <vt:lpstr>SCHEDULE</vt:lpstr>
      <vt:lpstr>CHANGEOVERS</vt:lpstr>
      <vt:lpstr>CREW_LOG</vt:lpstr>
      <vt:lpstr>EVENTS</vt:lpstr>
      <vt:lpstr>REF</vt:lpstr>
      <vt:lpstr>Staffing-02-25-26</vt:lpstr>
      <vt:lpstr>Staffing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Brian Crusoe</cp:lastModifiedBy>
  <cp:revision>0</cp:revision>
  <cp:lastPrinted>2026-02-26T08:57:22Z</cp:lastPrinted>
  <dcterms:created xsi:type="dcterms:W3CDTF">2026-02-25T11:19:07Z</dcterms:created>
  <dcterms:modified xsi:type="dcterms:W3CDTF">2026-02-26T10:08:13Z</dcterms:modified>
  <dc:language>en-US</dc:language>
</cp:coreProperties>
</file>